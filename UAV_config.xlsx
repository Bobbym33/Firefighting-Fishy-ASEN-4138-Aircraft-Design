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bobbymillette/Documents/CU Boulder/Fall 2026/Senior Design/Kawhi/MAIN/Input Excel Sheets/Design Configurations/"/>
    </mc:Choice>
  </mc:AlternateContent>
  <xr:revisionPtr revIDLastSave="0" documentId="13_ncr:1_{3C16DEDA-4E4A-9C4B-A725-2588B1B3C4EA}" xr6:coauthVersionLast="47" xr6:coauthVersionMax="47" xr10:uidLastSave="{00000000-0000-0000-0000-000000000000}"/>
  <bookViews>
    <workbookView xWindow="0" yWindow="0" windowWidth="28800" windowHeight="18000" activeTab="4" xr2:uid="{00000000-000D-0000-FFFF-FFFF00000000}"/>
  </bookViews>
  <sheets>
    <sheet name="Variable Reference" sheetId="1" r:id="rId1"/>
    <sheet name="Main_Input" sheetId="2" r:id="rId2"/>
    <sheet name="Airfoil_Data" sheetId="3" r:id="rId3"/>
    <sheet name="Propulsion" sheetId="4" r:id="rId4"/>
    <sheet name="Flap_Data" sheetId="5" r:id="rId5"/>
    <sheet name="Control_Surfaces" sheetId="6" r:id="rId6"/>
    <sheet name="Stability_Data" sheetId="7" r:id="rId7"/>
    <sheet name="List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c r="H2" i="2"/>
  <c r="AD2" i="2"/>
</calcChain>
</file>

<file path=xl/sharedStrings.xml><?xml version="1.0" encoding="utf-8"?>
<sst xmlns="http://schemas.openxmlformats.org/spreadsheetml/2006/main" count="823" uniqueCount="395">
  <si>
    <t>Worksheet</t>
  </si>
  <si>
    <t>Variable Name</t>
  </si>
  <si>
    <t>Units</t>
  </si>
  <si>
    <t>Description</t>
  </si>
  <si>
    <t>Who provides it</t>
  </si>
  <si>
    <t>Main_Input</t>
  </si>
  <si>
    <t>Config</t>
  </si>
  <si>
    <t>N/A</t>
  </si>
  <si>
    <t>User defined configuration number label.  Used to differentiate different designs or trade study variations in designs.</t>
  </si>
  <si>
    <t>ACType</t>
  </si>
  <si>
    <t>Aircraft Type. Used for calculating empty weight fraction based on models from Raymer Table 6.1 &amp; 6.2.</t>
  </si>
  <si>
    <t>altitude_o</t>
  </si>
  <si>
    <t>ft</t>
  </si>
  <si>
    <t>Design altitude.  Utilized to find standard atmosphere properties in model via the atmos function.  Value is typically left at sea level for conceptual design, but can be selected to represent the most prevalent or important mission altitude expected.</t>
  </si>
  <si>
    <t>M_o</t>
  </si>
  <si>
    <t>Estimate of designed Mach. Used to calculate Reynolds number for model analysis of skin friction drag.  Value should be selected to represent the most prevalent or important mission mach expected.</t>
  </si>
  <si>
    <t>M_max</t>
  </si>
  <si>
    <t>Max mach for design.</t>
  </si>
  <si>
    <t>Length_f</t>
  </si>
  <si>
    <t>Length of fuselage.</t>
  </si>
  <si>
    <t>Dia_f</t>
  </si>
  <si>
    <t>Maxium diameter of fuselage.</t>
  </si>
  <si>
    <t>Fine_f</t>
  </si>
  <si>
    <t>Fuselage fineness ratio.  Determined by dividing fuselage length by fuselage diameter.</t>
  </si>
  <si>
    <t>Amax_f</t>
  </si>
  <si>
    <t>ft^2</t>
  </si>
  <si>
    <t>Maximum fuselage cross-section area.</t>
  </si>
  <si>
    <t>Abase_f</t>
  </si>
  <si>
    <t>Fuselage base drag cross section area.  Determined by finding the cross section in the aft portion of the fuselage where the departure angle of the fuselage contour is &gt; 20 deg.  If this never occurs, then this value is zero.</t>
  </si>
  <si>
    <t>Swet_f</t>
  </si>
  <si>
    <t>Wetted area of fuselage equal to the total exposed surface area of the fuselage.</t>
  </si>
  <si>
    <t>Q_f</t>
  </si>
  <si>
    <t>Fuselage interference factor.  Default value is 1.0. for basic streamlined tube fuselage.  Can be &gt; 1.0 if significant fuselage protrusions exist.</t>
  </si>
  <si>
    <t>EWD</t>
  </si>
  <si>
    <t>Emperical Wave Drag Factor.  Example valuse:  1 = Ideal Sears-Haack Body, Typcial range for supersonic aircraft is 1.8 - 2.2 for clean, smoothly blended contoured design, 2.5 - 3 = Bumpy volume distribution.  An F-15 has an EWD around 2.9.</t>
  </si>
  <si>
    <t>Sref_w</t>
  </si>
  <si>
    <t>Wing planform area.  Projected 2-D area of the entire wing to include portions "hidden" within fuselage.  This area is used as the nondimensionalization scaling reference for all aerodynamic coefficients.</t>
  </si>
  <si>
    <t>Swet_w</t>
  </si>
  <si>
    <t xml:space="preserve">Wetted area of wing.  Accounts for all exposed (i.e. air touches it) surfaces of the wing (top and bottom surface must be accounted for). </t>
  </si>
  <si>
    <t>AR_w</t>
  </si>
  <si>
    <t>Aspect ratio of the wing.  See Wing Geometry reference sheet for equation.</t>
  </si>
  <si>
    <t>Taper_w</t>
  </si>
  <si>
    <t>Taper ratio of the wing (ratio of root chord to tip chord length). See Wing Geometry reference sheet for equation.</t>
  </si>
  <si>
    <t>Sweep_w</t>
  </si>
  <si>
    <t>deg</t>
  </si>
  <si>
    <t>Leading edge sweep of the main wing.</t>
  </si>
  <si>
    <t>QuarterSweep_w</t>
  </si>
  <si>
    <t>Sweep angle of the line connecting the quarter chord of the main wing from root to tip.</t>
  </si>
  <si>
    <t>Q_w</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</si>
  <si>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</si>
  <si>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Sref-h1</t>
  </si>
  <si>
    <t xml:space="preserve">Horizontal stabilizer #1 planform area.  Projected 2-D area of the entire horizontal tail to include portions "hidden" within fuselage. </t>
  </si>
  <si>
    <t>Swet_h1</t>
  </si>
  <si>
    <t xml:space="preserve">Wetted area of horizontal stabilizer #1.  Accounts for all exposed (i.e. air touches it) surfaces (top and bottom surface must be accounted for). </t>
  </si>
  <si>
    <t>AR_h1</t>
  </si>
  <si>
    <t>Aspect ratio of horizontal stabilizer #1. See Wing Geometry reference sheet for equation.</t>
  </si>
  <si>
    <t>Taper_h1</t>
  </si>
  <si>
    <t>Taper ratio of the horizontal stabilizer #1 (ratio of root chord to tip chord length). See Wing Geometry reference sheet for equation.</t>
  </si>
  <si>
    <t>Sweep_h1</t>
  </si>
  <si>
    <t>Leading edge sweep of the horizontal stabilizer #1.</t>
  </si>
  <si>
    <t>MAC_h1</t>
  </si>
  <si>
    <t>Estimate of the mean aerodynamic chord of the horizontal stabilizer #1.  Can roughly estimate by taking the average of the root chord and tip chord of the horizontal stabilizer.  Utilized to determine Reynolds number effects for horizontal tail.</t>
  </si>
  <si>
    <t>Q_h1</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</si>
  <si>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</si>
  <si>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Sref-h2</t>
  </si>
  <si>
    <t>Swet_h2</t>
  </si>
  <si>
    <t>AR_h2</t>
  </si>
  <si>
    <t>Aspect ratio of horizontal stabilizer #2. See Wing Geometry reference sheet for equation.</t>
  </si>
  <si>
    <t>Taper_h2</t>
  </si>
  <si>
    <t>Taper ratio of the horizontal stabilizer #2 (ratio of root chord to tip chord length). See Wing Geometry reference sheet for equation.</t>
  </si>
  <si>
    <t>Sweep_h2</t>
  </si>
  <si>
    <t>Leading edge sweep of the horizontal stabilizer #2.</t>
  </si>
  <si>
    <t>MAC_h2</t>
  </si>
  <si>
    <t>Estimate of the mean aerodynamic chord of the horizontal stabilizer #2.  Can roughly estimate by taking the average of the root chord and tip chord of the horizontal stabilizer.  Utilized to determine Reynolds number effects for horizontal tail.</t>
  </si>
  <si>
    <t>Q_h2</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</si>
  <si>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</si>
  <si>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Sref-v1</t>
  </si>
  <si>
    <t xml:space="preserve">Vertical stabilizer #1 planform area.  Projected 2-D area of the entire vertical tail to include portions "hidden" within fuselage. </t>
  </si>
  <si>
    <t>Swet_v1</t>
  </si>
  <si>
    <t xml:space="preserve">Wetted area of vertical stabilizer #1.  Accounts for all exposed (i.e. air touches it) surfaces (top and bottom surface must be accounted for). </t>
  </si>
  <si>
    <t>AR_v1</t>
  </si>
  <si>
    <t>Aspect ratio of vertical stabilizer #1. See Wing Geometry reference sheet for equation.</t>
  </si>
  <si>
    <t>Taper_v1</t>
  </si>
  <si>
    <t>Taper ratio of the vertical stabilizer #1 (ratio of root chord to tip chord length). See Wing Geometry reference sheet for equation.</t>
  </si>
  <si>
    <t>Sweep_v1</t>
  </si>
  <si>
    <t>Leading edge sweep of the vertical stabilizer #1.</t>
  </si>
  <si>
    <t>MAC_v1</t>
  </si>
  <si>
    <t>Estimate of the mean aerodynamic chord of the vertical stabilizer #1.  Can roughly estimate by taking the average of the root chord and tip chord of the vertical stabilizer.  Utilized to determine Reynolds number effects for vertical tail.</t>
  </si>
  <si>
    <t>Q_v1</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</si>
  <si>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</si>
  <si>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Sref-v2</t>
  </si>
  <si>
    <t xml:space="preserve">Vertical stabilizer #2 planform area.  Projected 2-D area of the entire vertical tail to include portions "hidden" within fuselage. </t>
  </si>
  <si>
    <t>Swet_v2</t>
  </si>
  <si>
    <t xml:space="preserve">Wetted area of vertical stabilizer #2.  Accounts for all exposed (i.e. air touches it) surfaces (top and bottom surface must be accounted for). </t>
  </si>
  <si>
    <t>AR_v2</t>
  </si>
  <si>
    <t>Aspect ratio of vertical stabilizer #2. See Wing Geometry reference sheet for equation.</t>
  </si>
  <si>
    <t>Taper_v2</t>
  </si>
  <si>
    <t>Taper ratio of the vertical stabilizer #2 (ratio of root chord to tip chord length). See Wing Geometry reference sheet for equation.</t>
  </si>
  <si>
    <t>Sweep_v2</t>
  </si>
  <si>
    <t>Leading edge sweep of the vertical stabilizer #2.</t>
  </si>
  <si>
    <t>MAC_v2</t>
  </si>
  <si>
    <t>Estimate of the mean aerodynamic chord of the vertical stabilizer #2.  Can roughly estimate by taking the average of the root chord and tip chord of the vertical stabilizer.  Utilized to determine Reynolds number effects for vertical tail.</t>
  </si>
  <si>
    <t>Q_v2</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</si>
  <si>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</si>
  <si>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Airfoil_Data</t>
  </si>
  <si>
    <t>User defined configuration number label.  Must align with configuration name / row on Main_Input.</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</si>
  <si>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</si>
  <si>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</si>
  <si>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</si>
  <si>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</si>
  <si>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</si>
  <si>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</si>
  <si>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</si>
  <si>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15 deg AoA (as denoted by value XXX after the Cl_)</t>
  </si>
  <si>
    <t>Cl_max</t>
  </si>
  <si>
    <t>2D airfoil maximum coefficient of lift</t>
  </si>
  <si>
    <t>Cd_XXX</t>
  </si>
  <si>
    <t>2D airfoil coefficient of drag data from -5 deg AoA to 15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</si>
  <si>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</si>
  <si>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</si>
  <si>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</si>
  <si>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</si>
  <si>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</si>
  <si>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</si>
  <si>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</si>
  <si>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</si>
  <si>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</si>
  <si>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</si>
  <si>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</si>
  <si>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</si>
  <si>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</si>
  <si>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</si>
  <si>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</si>
  <si>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</si>
  <si>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</si>
  <si>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</si>
  <si>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</si>
  <si>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</si>
  <si>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</si>
  <si>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</si>
  <si>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</si>
  <si>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</si>
  <si>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</si>
  <si>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</si>
  <si>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Propulsion</t>
  </si>
  <si>
    <t>PropType</t>
  </si>
  <si>
    <t>Type of propulsion utilized.  Pull down menu w/ limited options:  PROP_Fuel, PROP_Electric, JET_HBP_Turbofan,JET_LBP_Turbofan</t>
  </si>
  <si>
    <t>Number</t>
  </si>
  <si>
    <t>Number of engines / propulsion systems on aircraft.</t>
  </si>
  <si>
    <t>TA_mil_sl</t>
  </si>
  <si>
    <t>lb</t>
  </si>
  <si>
    <t>Static sea level uninstalled thrust without afterburner for a jet engine.  If using a prop driven aircraft, set to zero.</t>
  </si>
  <si>
    <t>TSFC_mil_sl</t>
  </si>
  <si>
    <t>(lb/hr/lb)</t>
  </si>
  <si>
    <t>Thrust specific fuel consupmtion without afterburner for a jet engine. If using a prop driven aircraft, set to zero.</t>
  </si>
  <si>
    <t>TA_AB_sl</t>
  </si>
  <si>
    <t>Static sea level uninstalled thrust with afterburner for a jet engine.  If using a prop driven aircraft or jet engine without afterburner, set to zero.</t>
  </si>
  <si>
    <t>TSFC_AB_sl</t>
  </si>
  <si>
    <t>Thrust specific fuel consupmtion with afterburner for a jet engine. If using a prop driven aircraft or a jet engine without afterburner, set to zero.</t>
  </si>
  <si>
    <t>Install_loss</t>
  </si>
  <si>
    <t>Installation losses for a jet engine.  Typically 20% = 0.2.</t>
  </si>
  <si>
    <t>PA_shp_sl</t>
  </si>
  <si>
    <t>hp</t>
  </si>
  <si>
    <t>Shaft or brake horsepower of engine driving a prop at sea level.  If using a jet engine, set to zero.</t>
  </si>
  <si>
    <t>SFC_sl</t>
  </si>
  <si>
    <t>(lb/hr/hp)</t>
  </si>
  <si>
    <t>Specific Fuel Consumption for prop engine.  If using a jet engine, set to zero.</t>
  </si>
  <si>
    <t>Prop_eff</t>
  </si>
  <si>
    <t>Propellor efficiency.</t>
  </si>
  <si>
    <t>Flap_Data</t>
  </si>
  <si>
    <t>Flap_Name</t>
  </si>
  <si>
    <t>Label for this flap design.</t>
  </si>
  <si>
    <t>Control Surface Sizing</t>
  </si>
  <si>
    <t>FlapType</t>
  </si>
  <si>
    <t>none, plain, split, slotted, fowler, double_slotted.</t>
  </si>
  <si>
    <t>cf_c</t>
  </si>
  <si>
    <t>Flap chord / wing chord.</t>
  </si>
  <si>
    <t>eta_in</t>
  </si>
  <si>
    <t>Flap inboard end, fraction of semispan (blank = fuselage side).</t>
  </si>
  <si>
    <t>eta_out</t>
  </si>
  <si>
    <t>Flap outboard end, fraction of semispan.</t>
  </si>
  <si>
    <t>delta_TO</t>
  </si>
  <si>
    <t>Takeoff flap deflection (blank = half of delta_LD).</t>
  </si>
  <si>
    <t>delta_LD</t>
  </si>
  <si>
    <t>Landing flap deflection (blank = delta_max).</t>
  </si>
  <si>
    <t>delta_max</t>
  </si>
  <si>
    <t>Max flap deflection; delta_TO and delta_LD capped here.</t>
  </si>
  <si>
    <t>chord_ext</t>
  </si>
  <si>
    <t>Chord extension c'/c for fowler / double_slotted (blank = 1.15).</t>
  </si>
  <si>
    <t>Control_Surfaces</t>
  </si>
  <si>
    <t>CS_Name</t>
  </si>
  <si>
    <t>Label for this control-surface design.</t>
  </si>
  <si>
    <t>ail_cc</t>
  </si>
  <si>
    <t>Aileron chord / wing chord.</t>
  </si>
  <si>
    <t>ail_eta_in</t>
  </si>
  <si>
    <t>Aileron inboard end, fraction of semispan (blank = 0.02 outboard of the flap).</t>
  </si>
  <si>
    <t>ail_eta_out</t>
  </si>
  <si>
    <t>Aileron outboard end, fraction of semispan.</t>
  </si>
  <si>
    <t>ail_dmax</t>
  </si>
  <si>
    <t>Max aileron deflection (average up/down).</t>
  </si>
  <si>
    <t>elev_cc</t>
  </si>
  <si>
    <t>Elevator chord / horizontal tail chord.</t>
  </si>
  <si>
    <t>elev_span</t>
  </si>
  <si>
    <t>Elevator span / horizontal tail span.</t>
  </si>
  <si>
    <t>elev_dmax</t>
  </si>
  <si>
    <t>Max elevator deflection.</t>
  </si>
  <si>
    <t>rud_cc</t>
  </si>
  <si>
    <t>Rudder chord / vertical tail chord.</t>
  </si>
  <si>
    <t>rud_span</t>
  </si>
  <si>
    <t>Rudder span / vertical tail span.</t>
  </si>
  <si>
    <t>rud_dmax</t>
  </si>
  <si>
    <t>Max rudder deflection.</t>
  </si>
  <si>
    <t>Stability_Data</t>
  </si>
  <si>
    <t>Must match the Main_Input configuration name / row.</t>
  </si>
  <si>
    <t>x_LE_w</t>
  </si>
  <si>
    <t>Nose to wing root leading edge.</t>
  </si>
  <si>
    <t>Configuration / OML</t>
  </si>
  <si>
    <t>x_cg_fwd</t>
  </si>
  <si>
    <t>Nose to FORWARD-most CG over all payload/battery loadings.</t>
  </si>
  <si>
    <t>Fuselage &amp; Balance</t>
  </si>
  <si>
    <t>x_cg_aft</t>
  </si>
  <si>
    <t>Nose to AFT-most CG over all payload/battery loadings.</t>
  </si>
  <si>
    <t>x_ac_h</t>
  </si>
  <si>
    <t>Nose to horizontal tail aerodynamic center (quarter of tail MAC).</t>
  </si>
  <si>
    <t>External Structure (OML)</t>
  </si>
  <si>
    <t>x_ac_v</t>
  </si>
  <si>
    <t>Nose to vertical tail aerodynamic center (quarter of tail MAC).</t>
  </si>
  <si>
    <t>x_mg</t>
  </si>
  <si>
    <t>Nose to main gear tire contact point.</t>
  </si>
  <si>
    <t>Undercarriage</t>
  </si>
  <si>
    <t>z_cg</t>
  </si>
  <si>
    <t>CG height above the ground on the gear.</t>
  </si>
  <si>
    <t>Undercarriage / Balance</t>
  </si>
  <si>
    <t>z_T</t>
  </si>
  <si>
    <t>Thrust line height above the ground (blank = z_cg).</t>
  </si>
  <si>
    <t>i_w_deg</t>
  </si>
  <si>
    <t>Wing incidence relative to the fuselage ground line.</t>
  </si>
  <si>
    <t>Configuration / Aero</t>
  </si>
  <si>
    <t>zw_over_d</t>
  </si>
  <si>
    <t>Wing vertical position / fuselage depth (+ low wing, - high wing, 0 mid).</t>
  </si>
  <si>
    <t>Configuration</t>
  </si>
  <si>
    <t>Ixx</t>
  </si>
  <si>
    <t>slug*ft^2</t>
  </si>
  <si>
    <t>Roll inertia (blank = Roskam estimate).</t>
  </si>
  <si>
    <t>OpenVSP Weights &amp; Inertias</t>
  </si>
  <si>
    <t>Iyy</t>
  </si>
  <si>
    <t>Pitch inertia (blank = Roskam estimate).</t>
  </si>
  <si>
    <t>Izz</t>
  </si>
  <si>
    <t>Yaw inertia (blank = Roskam estimate).</t>
  </si>
  <si>
    <t>eta_h</t>
  </si>
  <si>
    <t>Horizontal tail dynamic pressure ratio.</t>
  </si>
  <si>
    <t>Aero</t>
  </si>
  <si>
    <t>eta_v</t>
  </si>
  <si>
    <t>Vertical tail dynamic pressure ratio.</t>
  </si>
  <si>
    <t>mu_ground</t>
  </si>
  <si>
    <t>Rolling friction during takeoff roll (rotation check).</t>
  </si>
  <si>
    <t>theta_ddot_deg_s2</t>
  </si>
  <si>
    <t>deg/s^2</t>
  </si>
  <si>
    <t>Required pitch acceleration at rotation (small aircraft ~10-15).</t>
  </si>
  <si>
    <t>Controls</t>
  </si>
  <si>
    <t>h_lowspeed_ft</t>
  </si>
  <si>
    <t>Density altitude for low-speed checks (RFP: 8,000 ft).</t>
  </si>
  <si>
    <t>RFP</t>
  </si>
  <si>
    <t>V_max_mph</t>
  </si>
  <si>
    <t>mph</t>
  </si>
  <si>
    <t>Max speed for hinge-moment / servo sizing (RFP: 150 mph).</t>
  </si>
  <si>
    <t>crosswind_obj_mph</t>
  </si>
  <si>
    <t>Crosswind objective (RFP: 15 mph).</t>
  </si>
  <si>
    <t>crosswind_thr_mph</t>
  </si>
  <si>
    <t>Crosswind threshold (RFP: 10 mph).</t>
  </si>
  <si>
    <t>SM_obj</t>
  </si>
  <si>
    <t>Static margin objective (RFP: 0.15).</t>
  </si>
  <si>
    <t>SM_thr</t>
  </si>
  <si>
    <t>Static margin threshold (RFP: 0.10).</t>
  </si>
  <si>
    <t>roll_phi_C_deg</t>
  </si>
  <si>
    <t>Roll requirement, approach (MIL-F-8785C Class I Cat C Level 1: 30 deg).</t>
  </si>
  <si>
    <t>Chief Engineer</t>
  </si>
  <si>
    <t>roll_t_C_s</t>
  </si>
  <si>
    <t>s</t>
  </si>
  <si>
    <t>Roll requirement time, approach (1.3 s).</t>
  </si>
  <si>
    <t>roll_phi_B_deg</t>
  </si>
  <si>
    <t>Roll requirement, cruise (MIL-F-8785C Class I Cat B Level 1: 60 deg).</t>
  </si>
  <si>
    <t>roll_t_B_s</t>
  </si>
  <si>
    <t>Roll requirement time, cruise (1.7 s).</t>
  </si>
  <si>
    <t>Ch_delta</t>
  </si>
  <si>
    <t>1/rad</t>
  </si>
  <si>
    <t>Hinge-moment slope for servo sizing (unbalanced ~ -0.5 to -0.9).</t>
  </si>
  <si>
    <t>Controls / wind tunnel</t>
  </si>
  <si>
    <t>NOTE</t>
  </si>
  <si>
    <t>Yellow cells are PLACEHOLDERS (self-consistent first guesses). Replace them with team numbers.</t>
  </si>
  <si>
    <t>UAV-Baseline</t>
  </si>
  <si>
    <t>UAV_Prop</t>
  </si>
  <si>
    <t>Cl_neg5</t>
  </si>
  <si>
    <t>Cl_neg4</t>
  </si>
  <si>
    <t>Cl_neg3</t>
  </si>
  <si>
    <t>Cl_neg2</t>
  </si>
  <si>
    <t>Cl_neg1</t>
  </si>
  <si>
    <t>Cl_0</t>
  </si>
  <si>
    <t>Cl_1</t>
  </si>
  <si>
    <t>Cl_2</t>
  </si>
  <si>
    <t>Cl_3</t>
  </si>
  <si>
    <t>Cl_4</t>
  </si>
  <si>
    <t>Cl_5</t>
  </si>
  <si>
    <t>Cl_6</t>
  </si>
  <si>
    <t>Cl_7</t>
  </si>
  <si>
    <t>Cl_8</t>
  </si>
  <si>
    <t>Cl_9</t>
  </si>
  <si>
    <t>Cl_10</t>
  </si>
  <si>
    <t>Cl_11</t>
  </si>
  <si>
    <t>Cl_12</t>
  </si>
  <si>
    <t>Cd_neg5</t>
  </si>
  <si>
    <t>Cd_neg4</t>
  </si>
  <si>
    <t>Cd_neg3</t>
  </si>
  <si>
    <t>Cd_neg2</t>
  </si>
  <si>
    <t>Cd_neg1</t>
  </si>
  <si>
    <t>Cd_0</t>
  </si>
  <si>
    <t>Cd_1</t>
  </si>
  <si>
    <t>Cd_2</t>
  </si>
  <si>
    <t>Cd_3</t>
  </si>
  <si>
    <t>Cd_4</t>
  </si>
  <si>
    <t>Cd_5</t>
  </si>
  <si>
    <t>Cd_6</t>
  </si>
  <si>
    <t>Cd_7</t>
  </si>
  <si>
    <t>Cd_8</t>
  </si>
  <si>
    <t>Cd_9</t>
  </si>
  <si>
    <t>Cd_10</t>
  </si>
  <si>
    <t>Cd_11</t>
  </si>
  <si>
    <t>Cd_12</t>
  </si>
  <si>
    <t>NACA4412 (approx, Re 5e5)</t>
  </si>
  <si>
    <t>Prop_Dia</t>
  </si>
  <si>
    <t>Esb_ideal</t>
  </si>
  <si>
    <t>install_loss</t>
  </si>
  <si>
    <t>capacity_loss</t>
  </si>
  <si>
    <t>lifetime_loss</t>
  </si>
  <si>
    <t>Esb_Real</t>
  </si>
  <si>
    <t>eta_b2s</t>
  </si>
  <si>
    <t>PROP_Electric</t>
  </si>
  <si>
    <t>FLAP DESIGNS: one row per design. Pick with flap_row in MAIN (0 = no flaps).</t>
  </si>
  <si>
    <t>Plain 25%c</t>
  </si>
  <si>
    <t>plain</t>
  </si>
  <si>
    <t>Split 25%c</t>
  </si>
  <si>
    <t>split</t>
  </si>
  <si>
    <t>slotted</t>
  </si>
  <si>
    <t>CONTROL SURFACE DESIGNS: one row per design. Pick with cs_row in MAIN.</t>
  </si>
  <si>
    <t>Baseline</t>
  </si>
  <si>
    <t>All rows are compared when run_cs_trade = true. Column definitions are in the Variable Reference tab.</t>
  </si>
  <si>
    <t>Big rudder</t>
  </si>
  <si>
    <t>Small ailerons</t>
  </si>
  <si>
    <t>Big elevator</t>
  </si>
  <si>
    <t>Min surfaces</t>
  </si>
  <si>
    <t>AIRCRAFT LAYOUT for stability &amp; control: one row per configuration (same order as Main_Input).</t>
  </si>
  <si>
    <t>All x are measured aft from the nose; z is height above the ground on the gear.</t>
  </si>
  <si>
    <t>Blank inertias are estimated.</t>
  </si>
  <si>
    <t>PROP_Fuel</t>
  </si>
  <si>
    <t>Jet_Fighter</t>
  </si>
  <si>
    <t>Jet_Trainer</t>
  </si>
  <si>
    <t>JET_HBP_Turbofan</t>
  </si>
  <si>
    <t>Jet_Transport</t>
  </si>
  <si>
    <t>JET_LBP_Turbofan</t>
  </si>
  <si>
    <t>Military_Cargo/Bomber</t>
  </si>
  <si>
    <t>PROP_Turboprop</t>
  </si>
  <si>
    <t>Business_Jet</t>
  </si>
  <si>
    <t>PROP_Turbocharged</t>
  </si>
  <si>
    <t>UAV_Jet</t>
  </si>
  <si>
    <t>GA_Metal_Single</t>
  </si>
  <si>
    <t>GA_Metal_Twin</t>
  </si>
  <si>
    <t>GA_Composite</t>
  </si>
  <si>
    <t>Homebuilt_Metal/wood_Prop</t>
  </si>
  <si>
    <t>Homebuilt_Composite_Prop</t>
  </si>
  <si>
    <t>Turboprop_Transport</t>
  </si>
  <si>
    <t>Sailplane_Unpowered</t>
  </si>
  <si>
    <t>Sailplane_Powered</t>
  </si>
  <si>
    <t>Ag_Aircraft_Prop</t>
  </si>
  <si>
    <t>Aerobatic_Prop</t>
  </si>
  <si>
    <t>Flying_Boat_Prop</t>
  </si>
  <si>
    <t>SD7062</t>
  </si>
  <si>
    <t>fowler</t>
  </si>
  <si>
    <t>Slotted 25%c</t>
  </si>
  <si>
    <t>Fowler 25%c</t>
  </si>
  <si>
    <t>Albatross 1.1.0</t>
  </si>
  <si>
    <t>SD7062-14%</t>
  </si>
  <si>
    <t>SD8020</t>
  </si>
  <si>
    <t>SD7063</t>
  </si>
  <si>
    <t>Fowler 20%c</t>
  </si>
  <si>
    <t>Fowler 30%c</t>
  </si>
  <si>
    <t>Sref_w_flaps</t>
  </si>
  <si>
    <t>Split 20%c</t>
  </si>
  <si>
    <t>Split 30%c</t>
  </si>
  <si>
    <t>Plain 30%c</t>
  </si>
  <si>
    <t>Slotted 20%c</t>
  </si>
  <si>
    <t>Slotted 30%c</t>
  </si>
  <si>
    <t>double_slotted</t>
  </si>
  <si>
    <t>Double Slotted 20%c</t>
  </si>
  <si>
    <t>Double Slotted 25%c</t>
  </si>
  <si>
    <t>Double Slotted 30%c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</si>
</sst>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rgb="FF000000"/>
      <name val="Aptos Narrow"/>
      <family val="2"/>
    </font>
    <font>
      <sz val="11"/>
      <color rgb="FF000000"/>
      <name val="Calibri"/>
      <family val="2"/>
      <scheme val="minor"/>
    </font>
    <font>
      <b/>
      <sz val="11"/>
      <color rgb="FF000000"/>
      <name val="Aptos Narrow"/>
      <family val="2"/>
    </font>
    <font>
      <sz val="10"/>
      <color rgb="FF000000"/>
      <name val="Courier New"/>
      <family val="1"/>
    </font>
    <font>
      <sz val="8"/>
      <name val="Calibri"/>
      <family val="2"/>
      <scheme val="minor"/>
    </font>
  </fonts>
  <fills count="7">
    <fill>
      <patternFill patternType="none"/>
    </fill>
    <fill>
      <patternFill patternType="gray125"/>
    </fill>
    <fill>
      <patternFill patternType="solid">
        <fgColor rgb="FFDDEBF7"/>
      </patternFill>
    </fill>
    <fill>
      <patternFill patternType="solid">
        <fgColor rgb="FFFFF2CC"/>
      </patternFill>
    </fill>
    <fill>
      <patternFill patternType="solid">
        <fgColor theme="9" tint="0.59999389629810485"/>
        <bgColor indexed="64"/>
      </patternFill>
    </fill>
    <fill>
      <patternFill patternType="solid">
        <fgColor theme="9"/>
        <bgColor indexed="64"/>
      </patternFill>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2" borderId="0" xfId="0" applyFont="1" applyFill="1"/>
    <xf numFmtId="0" fontId="0" fillId="3" borderId="0" xfId="0" applyFill="1"/>
    <xf numFmtId="0" fontId="2" fillId="0" borderId="0" xfId="0" applyFont="1"/>
    <xf numFmtId="0" fontId="0" fillId="0" borderId="1" xfId="0" applyBorder="1"/>
    <xf numFmtId="0" fontId="3" fillId="0" borderId="1" xfId="0" applyFont="1" applyBorder="1"/>
    <xf numFmtId="0" fontId="4" fillId="0" borderId="0" xfId="0" applyFont="1"/>
    <xf numFmtId="0" fontId="5" fillId="0" borderId="0" xfId="0" applyFont="1"/>
    <xf numFmtId="0" fontId="1" fillId="2" borderId="1" xfId="0" applyFont="1" applyFill="1" applyBorder="1"/>
    <xf numFmtId="0" fontId="1" fillId="4" borderId="1" xfId="0" applyFont="1" applyFill="1" applyBorder="1"/>
    <xf numFmtId="0" fontId="1" fillId="5" borderId="1" xfId="0" applyFont="1" applyFill="1" applyBorder="1"/>
    <xf numFmtId="0" fontId="1" fillId="6" borderId="1" xfId="0" applyFont="1" applyFill="1" applyBorder="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1"/>
  <sheetViews>
    <sheetView topLeftCell="A81" zoomScale="150" workbookViewId="0">
      <selection activeCell="D93" sqref="D93"/>
    </sheetView>
  </sheetViews>
  <sheetFormatPr baseColWidth="10" defaultColWidth="8.83203125" defaultRowHeight="15" x14ac:dyDescent="0.2"/>
  <cols>
    <col min="1" max="1" width="16" customWidth="1"/>
    <col min="2" max="2" width="20" customWidth="1"/>
    <col min="3" max="3" width="12" customWidth="1"/>
    <col min="4" max="4" width="95" customWidth="1"/>
    <col min="5" max="5" width="28" customWidth="1"/>
  </cols>
  <sheetData>
    <row r="1" spans="1:5" x14ac:dyDescent="0.2">
      <c r="A1" s="1" t="s">
        <v>0</v>
      </c>
      <c r="B1" s="1" t="s">
        <v>1</v>
      </c>
      <c r="C1" s="1" t="s">
        <v>2</v>
      </c>
      <c r="D1" s="1" t="s">
        <v>3</v>
      </c>
      <c r="E1" s="1" t="s">
        <v>4</v>
      </c>
    </row>
    <row r="2" spans="1:5" x14ac:dyDescent="0.2">
      <c r="A2" t="s">
        <v>5</v>
      </c>
      <c r="B2" t="s">
        <v>6</v>
      </c>
      <c r="C2" t="s">
        <v>7</v>
      </c>
      <c r="D2" t="s">
        <v>8</v>
      </c>
    </row>
    <row r="3" spans="1:5" x14ac:dyDescent="0.2">
      <c r="A3" t="s">
        <v>5</v>
      </c>
      <c r="B3" t="s">
        <v>9</v>
      </c>
      <c r="C3" t="s">
        <v>7</v>
      </c>
      <c r="D3" t="s">
        <v>10</v>
      </c>
    </row>
    <row r="4" spans="1:5" x14ac:dyDescent="0.2">
      <c r="A4" t="s">
        <v>5</v>
      </c>
      <c r="B4" t="s">
        <v>11</v>
      </c>
      <c r="C4" t="s">
        <v>12</v>
      </c>
      <c r="D4" t="s">
        <v>13</v>
      </c>
    </row>
    <row r="5" spans="1:5" x14ac:dyDescent="0.2">
      <c r="A5" t="s">
        <v>5</v>
      </c>
      <c r="B5" t="s">
        <v>14</v>
      </c>
      <c r="C5" t="s">
        <v>7</v>
      </c>
      <c r="D5" t="s">
        <v>15</v>
      </c>
    </row>
    <row r="6" spans="1:5" x14ac:dyDescent="0.2">
      <c r="A6" t="s">
        <v>5</v>
      </c>
      <c r="B6" t="s">
        <v>16</v>
      </c>
      <c r="C6" t="s">
        <v>7</v>
      </c>
      <c r="D6" t="s">
        <v>17</v>
      </c>
    </row>
    <row r="7" spans="1:5" x14ac:dyDescent="0.2">
      <c r="A7" t="s">
        <v>5</v>
      </c>
      <c r="B7" t="s">
        <v>18</v>
      </c>
      <c r="C7" t="s">
        <v>12</v>
      </c>
      <c r="D7" t="s">
        <v>19</v>
      </c>
    </row>
    <row r="8" spans="1:5" x14ac:dyDescent="0.2">
      <c r="A8" t="s">
        <v>5</v>
      </c>
      <c r="B8" t="s">
        <v>20</v>
      </c>
      <c r="C8" t="s">
        <v>12</v>
      </c>
      <c r="D8" t="s">
        <v>21</v>
      </c>
    </row>
    <row r="9" spans="1:5" x14ac:dyDescent="0.2">
      <c r="A9" t="s">
        <v>5</v>
      </c>
      <c r="B9" t="s">
        <v>22</v>
      </c>
      <c r="C9" t="s">
        <v>7</v>
      </c>
      <c r="D9" t="s">
        <v>23</v>
      </c>
    </row>
    <row r="10" spans="1:5" x14ac:dyDescent="0.2">
      <c r="A10" t="s">
        <v>5</v>
      </c>
      <c r="B10" t="s">
        <v>24</v>
      </c>
      <c r="C10" t="s">
        <v>25</v>
      </c>
      <c r="D10" t="s">
        <v>26</v>
      </c>
    </row>
    <row r="11" spans="1:5" x14ac:dyDescent="0.2">
      <c r="A11" t="s">
        <v>5</v>
      </c>
      <c r="B11" t="s">
        <v>27</v>
      </c>
      <c r="C11" t="s">
        <v>25</v>
      </c>
      <c r="D11" t="s">
        <v>28</v>
      </c>
    </row>
    <row r="12" spans="1:5" x14ac:dyDescent="0.2">
      <c r="A12" t="s">
        <v>5</v>
      </c>
      <c r="B12" t="s">
        <v>29</v>
      </c>
      <c r="C12" t="s">
        <v>25</v>
      </c>
      <c r="D12" t="s">
        <v>30</v>
      </c>
    </row>
    <row r="13" spans="1:5" x14ac:dyDescent="0.2">
      <c r="A13" t="s">
        <v>5</v>
      </c>
      <c r="B13" t="s">
        <v>31</v>
      </c>
      <c r="C13" t="s">
        <v>7</v>
      </c>
      <c r="D13" t="s">
        <v>32</v>
      </c>
    </row>
    <row r="14" spans="1:5" x14ac:dyDescent="0.2">
      <c r="A14" t="s">
        <v>5</v>
      </c>
      <c r="B14" t="s">
        <v>33</v>
      </c>
      <c r="C14" t="s">
        <v>7</v>
      </c>
      <c r="D14" t="s">
        <v>34</v>
      </c>
    </row>
    <row r="15" spans="1:5" x14ac:dyDescent="0.2">
      <c r="A15" t="s">
        <v>5</v>
      </c>
      <c r="B15" t="s">
        <v>35</v>
      </c>
      <c r="C15" t="s">
        <v>25</v>
      </c>
      <c r="D15" t="s">
        <v>36</v>
      </c>
    </row>
    <row r="16" spans="1:5" x14ac:dyDescent="0.2">
      <c r="A16" t="s">
        <v>5</v>
      </c>
      <c r="B16" t="s">
        <v>37</v>
      </c>
      <c r="C16" t="s">
        <v>25</v>
      </c>
      <c r="D16" t="s">
        <v>38</v>
      </c>
    </row>
    <row r="17" spans="1:4" x14ac:dyDescent="0.2">
      <c r="A17" t="s">
        <v>5</v>
      </c>
      <c r="B17" t="s">
        <v>39</v>
      </c>
      <c r="C17" t="s">
        <v>7</v>
      </c>
      <c r="D17" t="s">
        <v>40</v>
      </c>
    </row>
    <row r="18" spans="1:4" x14ac:dyDescent="0.2">
      <c r="A18" t="s">
        <v>5</v>
      </c>
      <c r="B18" t="s">
        <v>41</v>
      </c>
      <c r="C18" t="s">
        <v>7</v>
      </c>
      <c r="D18" t="s">
        <v>42</v>
      </c>
    </row>
    <row r="19" spans="1:4" x14ac:dyDescent="0.2">
      <c r="A19" t="s">
        <v>5</v>
      </c>
      <c r="B19" t="s">
        <v>43</v>
      </c>
      <c r="C19" t="s">
        <v>44</v>
      </c>
      <c r="D19" t="s">
        <v>45</v>
      </c>
    </row>
    <row r="20" spans="1:4" x14ac:dyDescent="0.2">
      <c r="A20" t="s">
        <v>5</v>
      </c>
      <c r="B20" t="s">
        <v>46</v>
      </c>
      <c r="C20" t="s">
        <v>44</v>
      </c>
      <c r="D20" t="s">
        <v>47</v>
      </c>
    </row>
    <row r="21" spans="1:4" x14ac:dyDescent="0.2">
      <c r="A21" t="s">
        <v>5</v>
      </c>
      <c r="B21" t="s">
        <v>48</v>
      </c>
      <c r="C21" t="s">
        <v>7</v>
      </c>
      <c r="D21" t="s">
        <v>49</v>
      </c>
    </row>
    <row r="22" spans="1:4" x14ac:dyDescent="0.2">
      <c r="A22" t="s">
        <v>5</v>
      </c>
      <c r="B22" t="s">
        <v>50</v>
      </c>
      <c r="C22" t="s">
        <v>25</v>
      </c>
      <c r="D22" t="s">
        <v>51</v>
      </c>
    </row>
    <row r="23" spans="1:4" x14ac:dyDescent="0.2">
      <c r="A23" t="s">
        <v>5</v>
      </c>
      <c r="B23" t="s">
        <v>52</v>
      </c>
      <c r="C23" t="s">
        <v>25</v>
      </c>
      <c r="D23" t="s">
        <v>53</v>
      </c>
    </row>
    <row r="24" spans="1:4" x14ac:dyDescent="0.2">
      <c r="A24" t="s">
        <v>5</v>
      </c>
      <c r="B24" t="s">
        <v>54</v>
      </c>
      <c r="C24" t="s">
        <v>7</v>
      </c>
      <c r="D24" t="s">
        <v>55</v>
      </c>
    </row>
    <row r="25" spans="1:4" x14ac:dyDescent="0.2">
      <c r="A25" t="s">
        <v>5</v>
      </c>
      <c r="B25" t="s">
        <v>56</v>
      </c>
      <c r="C25" t="s">
        <v>7</v>
      </c>
      <c r="D25" t="s">
        <v>57</v>
      </c>
    </row>
    <row r="26" spans="1:4" x14ac:dyDescent="0.2">
      <c r="A26" t="s">
        <v>5</v>
      </c>
      <c r="B26" t="s">
        <v>58</v>
      </c>
      <c r="C26" t="s">
        <v>44</v>
      </c>
      <c r="D26" t="s">
        <v>59</v>
      </c>
    </row>
    <row r="27" spans="1:4" x14ac:dyDescent="0.2">
      <c r="A27" t="s">
        <v>5</v>
      </c>
      <c r="B27" t="s">
        <v>60</v>
      </c>
      <c r="C27" t="s">
        <v>12</v>
      </c>
      <c r="D27" t="s">
        <v>61</v>
      </c>
    </row>
    <row r="28" spans="1:4" x14ac:dyDescent="0.2">
      <c r="A28" t="s">
        <v>5</v>
      </c>
      <c r="B28" t="s">
        <v>62</v>
      </c>
      <c r="C28" t="s">
        <v>7</v>
      </c>
      <c r="D28" t="s">
        <v>63</v>
      </c>
    </row>
    <row r="29" spans="1:4" x14ac:dyDescent="0.2">
      <c r="A29" t="s">
        <v>5</v>
      </c>
      <c r="B29" t="s">
        <v>64</v>
      </c>
      <c r="C29" t="s">
        <v>25</v>
      </c>
      <c r="D29" t="s">
        <v>51</v>
      </c>
    </row>
    <row r="30" spans="1:4" x14ac:dyDescent="0.2">
      <c r="A30" t="s">
        <v>5</v>
      </c>
      <c r="B30" t="s">
        <v>65</v>
      </c>
      <c r="C30" t="s">
        <v>25</v>
      </c>
      <c r="D30" t="s">
        <v>53</v>
      </c>
    </row>
    <row r="31" spans="1:4" x14ac:dyDescent="0.2">
      <c r="A31" t="s">
        <v>5</v>
      </c>
      <c r="B31" t="s">
        <v>66</v>
      </c>
      <c r="C31" t="s">
        <v>7</v>
      </c>
      <c r="D31" t="s">
        <v>67</v>
      </c>
    </row>
    <row r="32" spans="1:4" x14ac:dyDescent="0.2">
      <c r="A32" t="s">
        <v>5</v>
      </c>
      <c r="B32" t="s">
        <v>68</v>
      </c>
      <c r="C32" t="s">
        <v>7</v>
      </c>
      <c r="D32" t="s">
        <v>69</v>
      </c>
    </row>
    <row r="33" spans="1:4" x14ac:dyDescent="0.2">
      <c r="A33" t="s">
        <v>5</v>
      </c>
      <c r="B33" t="s">
        <v>70</v>
      </c>
      <c r="C33" t="s">
        <v>44</v>
      </c>
      <c r="D33" t="s">
        <v>71</v>
      </c>
    </row>
    <row r="34" spans="1:4" x14ac:dyDescent="0.2">
      <c r="A34" t="s">
        <v>5</v>
      </c>
      <c r="B34" t="s">
        <v>72</v>
      </c>
      <c r="C34" t="s">
        <v>12</v>
      </c>
      <c r="D34" t="s">
        <v>73</v>
      </c>
    </row>
    <row r="35" spans="1:4" x14ac:dyDescent="0.2">
      <c r="A35" t="s">
        <v>5</v>
      </c>
      <c r="B35" t="s">
        <v>74</v>
      </c>
      <c r="C35" t="s">
        <v>7</v>
      </c>
      <c r="D35" t="s">
        <v>75</v>
      </c>
    </row>
    <row r="36" spans="1:4" x14ac:dyDescent="0.2">
      <c r="A36" t="s">
        <v>5</v>
      </c>
      <c r="B36" t="s">
        <v>76</v>
      </c>
      <c r="C36" t="s">
        <v>25</v>
      </c>
      <c r="D36" t="s">
        <v>77</v>
      </c>
    </row>
    <row r="37" spans="1:4" x14ac:dyDescent="0.2">
      <c r="A37" t="s">
        <v>5</v>
      </c>
      <c r="B37" t="s">
        <v>78</v>
      </c>
      <c r="C37" t="s">
        <v>25</v>
      </c>
      <c r="D37" t="s">
        <v>79</v>
      </c>
    </row>
    <row r="38" spans="1:4" x14ac:dyDescent="0.2">
      <c r="A38" t="s">
        <v>5</v>
      </c>
      <c r="B38" t="s">
        <v>80</v>
      </c>
      <c r="C38" t="s">
        <v>7</v>
      </c>
      <c r="D38" t="s">
        <v>81</v>
      </c>
    </row>
    <row r="39" spans="1:4" x14ac:dyDescent="0.2">
      <c r="A39" t="s">
        <v>5</v>
      </c>
      <c r="B39" t="s">
        <v>82</v>
      </c>
      <c r="C39" t="s">
        <v>7</v>
      </c>
      <c r="D39" t="s">
        <v>83</v>
      </c>
    </row>
    <row r="40" spans="1:4" x14ac:dyDescent="0.2">
      <c r="A40" t="s">
        <v>5</v>
      </c>
      <c r="B40" t="s">
        <v>84</v>
      </c>
      <c r="C40" t="s">
        <v>44</v>
      </c>
      <c r="D40" t="s">
        <v>85</v>
      </c>
    </row>
    <row r="41" spans="1:4" x14ac:dyDescent="0.2">
      <c r="A41" t="s">
        <v>5</v>
      </c>
      <c r="B41" t="s">
        <v>86</v>
      </c>
      <c r="C41" t="s">
        <v>12</v>
      </c>
      <c r="D41" t="s">
        <v>87</v>
      </c>
    </row>
    <row r="42" spans="1:4" x14ac:dyDescent="0.2">
      <c r="A42" t="s">
        <v>5</v>
      </c>
      <c r="B42" t="s">
        <v>88</v>
      </c>
      <c r="C42" t="s">
        <v>7</v>
      </c>
      <c r="D42" t="s">
        <v>89</v>
      </c>
    </row>
    <row r="43" spans="1:4" x14ac:dyDescent="0.2">
      <c r="A43" t="s">
        <v>5</v>
      </c>
      <c r="B43" t="s">
        <v>90</v>
      </c>
      <c r="C43" t="s">
        <v>25</v>
      </c>
      <c r="D43" t="s">
        <v>91</v>
      </c>
    </row>
    <row r="44" spans="1:4" x14ac:dyDescent="0.2">
      <c r="A44" t="s">
        <v>5</v>
      </c>
      <c r="B44" t="s">
        <v>92</v>
      </c>
      <c r="C44" t="s">
        <v>25</v>
      </c>
      <c r="D44" t="s">
        <v>93</v>
      </c>
    </row>
    <row r="45" spans="1:4" x14ac:dyDescent="0.2">
      <c r="A45" t="s">
        <v>5</v>
      </c>
      <c r="B45" t="s">
        <v>94</v>
      </c>
      <c r="C45" t="s">
        <v>7</v>
      </c>
      <c r="D45" t="s">
        <v>95</v>
      </c>
    </row>
    <row r="46" spans="1:4" x14ac:dyDescent="0.2">
      <c r="A46" t="s">
        <v>5</v>
      </c>
      <c r="B46" t="s">
        <v>96</v>
      </c>
      <c r="C46" t="s">
        <v>7</v>
      </c>
      <c r="D46" t="s">
        <v>97</v>
      </c>
    </row>
    <row r="47" spans="1:4" x14ac:dyDescent="0.2">
      <c r="A47" t="s">
        <v>5</v>
      </c>
      <c r="B47" t="s">
        <v>98</v>
      </c>
      <c r="C47" t="s">
        <v>44</v>
      </c>
      <c r="D47" t="s">
        <v>99</v>
      </c>
    </row>
    <row r="48" spans="1:4" x14ac:dyDescent="0.2">
      <c r="A48" t="s">
        <v>5</v>
      </c>
      <c r="B48" t="s">
        <v>100</v>
      </c>
      <c r="C48" t="s">
        <v>12</v>
      </c>
      <c r="D48" t="s">
        <v>101</v>
      </c>
    </row>
    <row r="49" spans="1:4" x14ac:dyDescent="0.2">
      <c r="A49" t="s">
        <v>5</v>
      </c>
      <c r="B49" t="s">
        <v>102</v>
      </c>
      <c r="C49" t="s">
        <v>7</v>
      </c>
      <c r="D49" t="s">
        <v>103</v>
      </c>
    </row>
    <row r="50" spans="1:4" x14ac:dyDescent="0.2">
      <c r="A50" t="s">
        <v>104</v>
      </c>
      <c r="B50" t="s">
        <v>6</v>
      </c>
      <c r="C50" t="s">
        <v>7</v>
      </c>
      <c r="D50" t="s">
        <v>105</v>
      </c>
    </row>
    <row r="51" spans="1:4" x14ac:dyDescent="0.2">
      <c r="A51" t="s">
        <v>104</v>
      </c>
      <c r="B51" t="s">
        <v>106</v>
      </c>
      <c r="C51" t="s">
        <v>7</v>
      </c>
      <c r="D51" t="s">
        <v>107</v>
      </c>
    </row>
    <row r="52" spans="1:4" x14ac:dyDescent="0.2">
      <c r="A52" t="s">
        <v>104</v>
      </c>
      <c r="B52" t="s">
        <v>108</v>
      </c>
      <c r="C52" t="s">
        <v>7</v>
      </c>
      <c r="D52" t="s">
        <v>109</v>
      </c>
    </row>
    <row r="53" spans="1:4" x14ac:dyDescent="0.2">
      <c r="A53" t="s">
        <v>104</v>
      </c>
      <c r="B53" t="s">
        <v>110</v>
      </c>
      <c r="C53" t="s">
        <v>7</v>
      </c>
      <c r="D53" t="s">
        <v>111</v>
      </c>
    </row>
    <row r="54" spans="1:4" x14ac:dyDescent="0.2">
      <c r="A54" t="s">
        <v>104</v>
      </c>
      <c r="B54" t="s">
        <v>112</v>
      </c>
      <c r="C54" t="s">
        <v>7</v>
      </c>
      <c r="D54" t="s">
        <v>113</v>
      </c>
    </row>
    <row r="55" spans="1:4" x14ac:dyDescent="0.2">
      <c r="A55" t="s">
        <v>104</v>
      </c>
      <c r="B55" t="s">
        <v>114</v>
      </c>
      <c r="C55" t="s">
        <v>7</v>
      </c>
      <c r="D55" t="s">
        <v>115</v>
      </c>
    </row>
    <row r="56" spans="1:4" x14ac:dyDescent="0.2">
      <c r="A56" t="s">
        <v>104</v>
      </c>
      <c r="B56" t="s">
        <v>116</v>
      </c>
      <c r="C56" t="s">
        <v>7</v>
      </c>
      <c r="D56" t="s">
        <v>117</v>
      </c>
    </row>
    <row r="57" spans="1:4" x14ac:dyDescent="0.2">
      <c r="A57" t="s">
        <v>104</v>
      </c>
      <c r="B57" t="s">
        <v>118</v>
      </c>
      <c r="C57" t="s">
        <v>7</v>
      </c>
      <c r="D57" t="s">
        <v>119</v>
      </c>
    </row>
    <row r="58" spans="1:4" x14ac:dyDescent="0.2">
      <c r="A58" t="s">
        <v>104</v>
      </c>
      <c r="B58" t="s">
        <v>120</v>
      </c>
      <c r="C58" t="s">
        <v>7</v>
      </c>
      <c r="D58" t="s">
        <v>121</v>
      </c>
    </row>
    <row r="59" spans="1:4" x14ac:dyDescent="0.2">
      <c r="A59" t="s">
        <v>104</v>
      </c>
      <c r="B59" t="s">
        <v>122</v>
      </c>
      <c r="C59" t="s">
        <v>7</v>
      </c>
      <c r="D59" t="s">
        <v>123</v>
      </c>
    </row>
    <row r="60" spans="1:4" x14ac:dyDescent="0.2">
      <c r="A60" t="s">
        <v>104</v>
      </c>
      <c r="B60" t="s">
        <v>124</v>
      </c>
      <c r="C60" t="s">
        <v>7</v>
      </c>
      <c r="D60" t="s">
        <v>125</v>
      </c>
    </row>
    <row r="61" spans="1:4" x14ac:dyDescent="0.2">
      <c r="A61" t="s">
        <v>104</v>
      </c>
      <c r="B61" t="s">
        <v>126</v>
      </c>
      <c r="C61" t="s">
        <v>7</v>
      </c>
      <c r="D61" t="s">
        <v>127</v>
      </c>
    </row>
    <row r="62" spans="1:4" x14ac:dyDescent="0.2">
      <c r="A62" t="s">
        <v>104</v>
      </c>
      <c r="B62" t="s">
        <v>128</v>
      </c>
      <c r="C62" t="s">
        <v>7</v>
      </c>
      <c r="D62" t="s">
        <v>129</v>
      </c>
    </row>
    <row r="63" spans="1:4" x14ac:dyDescent="0.2">
      <c r="A63" t="s">
        <v>104</v>
      </c>
      <c r="B63" t="s">
        <v>130</v>
      </c>
      <c r="C63" t="s">
        <v>7</v>
      </c>
      <c r="D63" t="s">
        <v>131</v>
      </c>
    </row>
    <row r="64" spans="1:4" x14ac:dyDescent="0.2">
      <c r="A64" t="s">
        <v>104</v>
      </c>
      <c r="B64" t="s">
        <v>132</v>
      </c>
      <c r="C64" t="s">
        <v>7</v>
      </c>
      <c r="D64" t="s">
        <v>133</v>
      </c>
    </row>
    <row r="65" spans="1:4" x14ac:dyDescent="0.2">
      <c r="A65" t="s">
        <v>104</v>
      </c>
      <c r="B65" t="s">
        <v>134</v>
      </c>
      <c r="C65" t="s">
        <v>7</v>
      </c>
      <c r="D65" t="s">
        <v>135</v>
      </c>
    </row>
    <row r="66" spans="1:4" x14ac:dyDescent="0.2">
      <c r="A66" t="s">
        <v>104</v>
      </c>
      <c r="B66" t="s">
        <v>136</v>
      </c>
      <c r="C66" t="s">
        <v>7</v>
      </c>
      <c r="D66" t="s">
        <v>137</v>
      </c>
    </row>
    <row r="67" spans="1:4" x14ac:dyDescent="0.2">
      <c r="A67" t="s">
        <v>104</v>
      </c>
      <c r="B67" t="s">
        <v>138</v>
      </c>
      <c r="C67" t="s">
        <v>7</v>
      </c>
      <c r="D67" t="s">
        <v>139</v>
      </c>
    </row>
    <row r="68" spans="1:4" x14ac:dyDescent="0.2">
      <c r="A68" t="s">
        <v>104</v>
      </c>
      <c r="B68" t="s">
        <v>140</v>
      </c>
      <c r="C68" t="s">
        <v>7</v>
      </c>
      <c r="D68" t="s">
        <v>141</v>
      </c>
    </row>
    <row r="69" spans="1:4" x14ac:dyDescent="0.2">
      <c r="A69" t="s">
        <v>104</v>
      </c>
      <c r="B69" t="s">
        <v>142</v>
      </c>
      <c r="C69" t="s">
        <v>7</v>
      </c>
      <c r="D69" t="s">
        <v>143</v>
      </c>
    </row>
    <row r="70" spans="1:4" x14ac:dyDescent="0.2">
      <c r="A70" t="s">
        <v>144</v>
      </c>
      <c r="B70" t="s">
        <v>6</v>
      </c>
      <c r="C70" t="s">
        <v>7</v>
      </c>
      <c r="D70" t="s">
        <v>105</v>
      </c>
    </row>
    <row r="71" spans="1:4" x14ac:dyDescent="0.2">
      <c r="A71" t="s">
        <v>144</v>
      </c>
      <c r="B71" t="s">
        <v>145</v>
      </c>
      <c r="C71" t="s">
        <v>7</v>
      </c>
      <c r="D71" t="s">
        <v>146</v>
      </c>
    </row>
    <row r="72" spans="1:4" x14ac:dyDescent="0.2">
      <c r="A72" t="s">
        <v>144</v>
      </c>
      <c r="B72" t="s">
        <v>147</v>
      </c>
      <c r="C72" t="s">
        <v>7</v>
      </c>
      <c r="D72" t="s">
        <v>148</v>
      </c>
    </row>
    <row r="73" spans="1:4" x14ac:dyDescent="0.2">
      <c r="A73" t="s">
        <v>144</v>
      </c>
      <c r="B73" t="s">
        <v>149</v>
      </c>
      <c r="C73" t="s">
        <v>150</v>
      </c>
      <c r="D73" t="s">
        <v>151</v>
      </c>
    </row>
    <row r="74" spans="1:4" x14ac:dyDescent="0.2">
      <c r="A74" t="s">
        <v>144</v>
      </c>
      <c r="B74" t="s">
        <v>152</v>
      </c>
      <c r="C74" t="s">
        <v>153</v>
      </c>
      <c r="D74" t="s">
        <v>154</v>
      </c>
    </row>
    <row r="75" spans="1:4" x14ac:dyDescent="0.2">
      <c r="A75" t="s">
        <v>144</v>
      </c>
      <c r="B75" t="s">
        <v>155</v>
      </c>
      <c r="C75" t="s">
        <v>150</v>
      </c>
      <c r="D75" t="s">
        <v>156</v>
      </c>
    </row>
    <row r="76" spans="1:4" x14ac:dyDescent="0.2">
      <c r="A76" t="s">
        <v>144</v>
      </c>
      <c r="B76" t="s">
        <v>157</v>
      </c>
      <c r="C76" t="s">
        <v>153</v>
      </c>
      <c r="D76" t="s">
        <v>158</v>
      </c>
    </row>
    <row r="77" spans="1:4" x14ac:dyDescent="0.2">
      <c r="A77" t="s">
        <v>144</v>
      </c>
      <c r="B77" t="s">
        <v>159</v>
      </c>
      <c r="C77" t="s">
        <v>7</v>
      </c>
      <c r="D77" t="s">
        <v>160</v>
      </c>
    </row>
    <row r="78" spans="1:4" x14ac:dyDescent="0.2">
      <c r="A78" t="s">
        <v>144</v>
      </c>
      <c r="B78" t="s">
        <v>161</v>
      </c>
      <c r="C78" t="s">
        <v>162</v>
      </c>
      <c r="D78" t="s">
        <v>163</v>
      </c>
    </row>
    <row r="79" spans="1:4" x14ac:dyDescent="0.2">
      <c r="A79" t="s">
        <v>144</v>
      </c>
      <c r="B79" t="s">
        <v>164</v>
      </c>
      <c r="C79" t="s">
        <v>165</v>
      </c>
      <c r="D79" t="s">
        <v>166</v>
      </c>
    </row>
    <row r="80" spans="1:4" x14ac:dyDescent="0.2">
      <c r="A80" t="s">
        <v>144</v>
      </c>
      <c r="B80" t="s">
        <v>167</v>
      </c>
      <c r="C80" t="s">
        <v>7</v>
      </c>
      <c r="D80" t="s">
        <v>168</v>
      </c>
    </row>
    <row r="81" spans="1:5" x14ac:dyDescent="0.2">
      <c r="A81" t="s">
        <v>169</v>
      </c>
      <c r="B81" t="s">
        <v>170</v>
      </c>
      <c r="C81" t="s">
        <v>7</v>
      </c>
      <c r="D81" t="s">
        <v>171</v>
      </c>
      <c r="E81" t="s">
        <v>172</v>
      </c>
    </row>
    <row r="82" spans="1:5" x14ac:dyDescent="0.2">
      <c r="A82" t="s">
        <v>169</v>
      </c>
      <c r="B82" t="s">
        <v>173</v>
      </c>
      <c r="C82" t="s">
        <v>7</v>
      </c>
      <c r="D82" t="s">
        <v>174</v>
      </c>
      <c r="E82" t="s">
        <v>172</v>
      </c>
    </row>
    <row r="83" spans="1:5" x14ac:dyDescent="0.2">
      <c r="A83" t="s">
        <v>169</v>
      </c>
      <c r="B83" t="s">
        <v>175</v>
      </c>
      <c r="C83" t="s">
        <v>7</v>
      </c>
      <c r="D83" t="s">
        <v>176</v>
      </c>
      <c r="E83" t="s">
        <v>172</v>
      </c>
    </row>
    <row r="84" spans="1:5" x14ac:dyDescent="0.2">
      <c r="A84" t="s">
        <v>169</v>
      </c>
      <c r="B84" t="s">
        <v>177</v>
      </c>
      <c r="C84" t="s">
        <v>7</v>
      </c>
      <c r="D84" t="s">
        <v>178</v>
      </c>
      <c r="E84" t="s">
        <v>172</v>
      </c>
    </row>
    <row r="85" spans="1:5" x14ac:dyDescent="0.2">
      <c r="A85" t="s">
        <v>169</v>
      </c>
      <c r="B85" t="s">
        <v>179</v>
      </c>
      <c r="C85" t="s">
        <v>7</v>
      </c>
      <c r="D85" t="s">
        <v>180</v>
      </c>
      <c r="E85" t="s">
        <v>172</v>
      </c>
    </row>
    <row r="86" spans="1:5" x14ac:dyDescent="0.2">
      <c r="A86" t="s">
        <v>169</v>
      </c>
      <c r="B86" t="s">
        <v>181</v>
      </c>
      <c r="C86" t="s">
        <v>44</v>
      </c>
      <c r="D86" t="s">
        <v>182</v>
      </c>
      <c r="E86" t="s">
        <v>172</v>
      </c>
    </row>
    <row r="87" spans="1:5" x14ac:dyDescent="0.2">
      <c r="A87" t="s">
        <v>169</v>
      </c>
      <c r="B87" t="s">
        <v>183</v>
      </c>
      <c r="C87" t="s">
        <v>44</v>
      </c>
      <c r="D87" t="s">
        <v>184</v>
      </c>
      <c r="E87" t="s">
        <v>172</v>
      </c>
    </row>
    <row r="88" spans="1:5" x14ac:dyDescent="0.2">
      <c r="A88" t="s">
        <v>169</v>
      </c>
      <c r="B88" t="s">
        <v>185</v>
      </c>
      <c r="C88" t="s">
        <v>44</v>
      </c>
      <c r="D88" t="s">
        <v>186</v>
      </c>
      <c r="E88" t="s">
        <v>172</v>
      </c>
    </row>
    <row r="89" spans="1:5" x14ac:dyDescent="0.2">
      <c r="A89" t="s">
        <v>169</v>
      </c>
      <c r="B89" t="s">
        <v>187</v>
      </c>
      <c r="C89" t="s">
        <v>7</v>
      </c>
      <c r="D89" t="s">
        <v>188</v>
      </c>
      <c r="E89" t="s">
        <v>172</v>
      </c>
    </row>
    <row r="90" spans="1:5" x14ac:dyDescent="0.2">
      <c r="A90" t="s">
        <v>189</v>
      </c>
      <c r="B90" t="s">
        <v>190</v>
      </c>
      <c r="C90" t="s">
        <v>7</v>
      </c>
      <c r="D90" t="s">
        <v>191</v>
      </c>
      <c r="E90" t="s">
        <v>172</v>
      </c>
    </row>
    <row r="91" spans="1:5" x14ac:dyDescent="0.2">
      <c r="A91" t="s">
        <v>189</v>
      </c>
      <c r="B91" t="s">
        <v>192</v>
      </c>
      <c r="C91" t="s">
        <v>7</v>
      </c>
      <c r="D91" t="s">
        <v>193</v>
      </c>
      <c r="E91" t="s">
        <v>172</v>
      </c>
    </row>
    <row r="92" spans="1:5" x14ac:dyDescent="0.2">
      <c r="A92" t="s">
        <v>189</v>
      </c>
      <c r="B92" t="s">
        <v>194</v>
      </c>
      <c r="C92" t="s">
        <v>7</v>
      </c>
      <c r="D92" t="s">
        <v>195</v>
      </c>
      <c r="E92" t="s">
        <v>172</v>
      </c>
    </row>
    <row r="93" spans="1:5" x14ac:dyDescent="0.2">
      <c r="A93" t="s">
        <v>189</v>
      </c>
      <c r="B93" t="s">
        <v>196</v>
      </c>
      <c r="C93" t="s">
        <v>7</v>
      </c>
      <c r="D93" t="s">
        <v>197</v>
      </c>
      <c r="E93" t="s">
        <v>172</v>
      </c>
    </row>
    <row r="94" spans="1:5" x14ac:dyDescent="0.2">
      <c r="A94" t="s">
        <v>189</v>
      </c>
      <c r="B94" t="s">
        <v>198</v>
      </c>
      <c r="C94" t="s">
        <v>44</v>
      </c>
      <c r="D94" t="s">
        <v>199</v>
      </c>
      <c r="E94" t="s">
        <v>172</v>
      </c>
    </row>
    <row r="95" spans="1:5" x14ac:dyDescent="0.2">
      <c r="A95" t="s">
        <v>189</v>
      </c>
      <c r="B95" t="s">
        <v>200</v>
      </c>
      <c r="C95" t="s">
        <v>7</v>
      </c>
      <c r="D95" t="s">
        <v>201</v>
      </c>
      <c r="E95" t="s">
        <v>172</v>
      </c>
    </row>
    <row r="96" spans="1:5" x14ac:dyDescent="0.2">
      <c r="A96" t="s">
        <v>189</v>
      </c>
      <c r="B96" t="s">
        <v>202</v>
      </c>
      <c r="C96" t="s">
        <v>7</v>
      </c>
      <c r="D96" t="s">
        <v>203</v>
      </c>
      <c r="E96" t="s">
        <v>172</v>
      </c>
    </row>
    <row r="97" spans="1:5" x14ac:dyDescent="0.2">
      <c r="A97" t="s">
        <v>189</v>
      </c>
      <c r="B97" t="s">
        <v>204</v>
      </c>
      <c r="C97" t="s">
        <v>44</v>
      </c>
      <c r="D97" t="s">
        <v>205</v>
      </c>
      <c r="E97" t="s">
        <v>172</v>
      </c>
    </row>
    <row r="98" spans="1:5" x14ac:dyDescent="0.2">
      <c r="A98" t="s">
        <v>189</v>
      </c>
      <c r="B98" t="s">
        <v>206</v>
      </c>
      <c r="C98" t="s">
        <v>7</v>
      </c>
      <c r="D98" t="s">
        <v>207</v>
      </c>
      <c r="E98" t="s">
        <v>172</v>
      </c>
    </row>
    <row r="99" spans="1:5" x14ac:dyDescent="0.2">
      <c r="A99" t="s">
        <v>189</v>
      </c>
      <c r="B99" t="s">
        <v>208</v>
      </c>
      <c r="C99" t="s">
        <v>7</v>
      </c>
      <c r="D99" t="s">
        <v>209</v>
      </c>
      <c r="E99" t="s">
        <v>172</v>
      </c>
    </row>
    <row r="100" spans="1:5" x14ac:dyDescent="0.2">
      <c r="A100" t="s">
        <v>189</v>
      </c>
      <c r="B100" t="s">
        <v>210</v>
      </c>
      <c r="C100" t="s">
        <v>44</v>
      </c>
      <c r="D100" t="s">
        <v>211</v>
      </c>
      <c r="E100" t="s">
        <v>172</v>
      </c>
    </row>
    <row r="101" spans="1:5" x14ac:dyDescent="0.2">
      <c r="A101" t="s">
        <v>212</v>
      </c>
      <c r="B101" t="s">
        <v>6</v>
      </c>
      <c r="C101" t="s">
        <v>7</v>
      </c>
      <c r="D101" t="s">
        <v>213</v>
      </c>
    </row>
    <row r="102" spans="1:5" x14ac:dyDescent="0.2">
      <c r="A102" t="s">
        <v>212</v>
      </c>
      <c r="B102" t="s">
        <v>214</v>
      </c>
      <c r="C102" t="s">
        <v>12</v>
      </c>
      <c r="D102" t="s">
        <v>215</v>
      </c>
      <c r="E102" t="s">
        <v>216</v>
      </c>
    </row>
    <row r="103" spans="1:5" x14ac:dyDescent="0.2">
      <c r="A103" t="s">
        <v>212</v>
      </c>
      <c r="B103" t="s">
        <v>217</v>
      </c>
      <c r="C103" t="s">
        <v>12</v>
      </c>
      <c r="D103" t="s">
        <v>218</v>
      </c>
      <c r="E103" t="s">
        <v>219</v>
      </c>
    </row>
    <row r="104" spans="1:5" x14ac:dyDescent="0.2">
      <c r="A104" t="s">
        <v>212</v>
      </c>
      <c r="B104" t="s">
        <v>220</v>
      </c>
      <c r="C104" t="s">
        <v>12</v>
      </c>
      <c r="D104" t="s">
        <v>221</v>
      </c>
      <c r="E104" t="s">
        <v>219</v>
      </c>
    </row>
    <row r="105" spans="1:5" x14ac:dyDescent="0.2">
      <c r="A105" t="s">
        <v>212</v>
      </c>
      <c r="B105" t="s">
        <v>222</v>
      </c>
      <c r="C105" t="s">
        <v>12</v>
      </c>
      <c r="D105" t="s">
        <v>223</v>
      </c>
      <c r="E105" t="s">
        <v>224</v>
      </c>
    </row>
    <row r="106" spans="1:5" x14ac:dyDescent="0.2">
      <c r="A106" t="s">
        <v>212</v>
      </c>
      <c r="B106" t="s">
        <v>225</v>
      </c>
      <c r="C106" t="s">
        <v>12</v>
      </c>
      <c r="D106" t="s">
        <v>226</v>
      </c>
      <c r="E106" t="s">
        <v>224</v>
      </c>
    </row>
    <row r="107" spans="1:5" x14ac:dyDescent="0.2">
      <c r="A107" t="s">
        <v>212</v>
      </c>
      <c r="B107" t="s">
        <v>227</v>
      </c>
      <c r="C107" t="s">
        <v>12</v>
      </c>
      <c r="D107" t="s">
        <v>228</v>
      </c>
      <c r="E107" t="s">
        <v>229</v>
      </c>
    </row>
    <row r="108" spans="1:5" x14ac:dyDescent="0.2">
      <c r="A108" t="s">
        <v>212</v>
      </c>
      <c r="B108" t="s">
        <v>230</v>
      </c>
      <c r="C108" t="s">
        <v>12</v>
      </c>
      <c r="D108" t="s">
        <v>231</v>
      </c>
      <c r="E108" t="s">
        <v>232</v>
      </c>
    </row>
    <row r="109" spans="1:5" x14ac:dyDescent="0.2">
      <c r="A109" t="s">
        <v>212</v>
      </c>
      <c r="B109" t="s">
        <v>233</v>
      </c>
      <c r="C109" t="s">
        <v>12</v>
      </c>
      <c r="D109" t="s">
        <v>234</v>
      </c>
      <c r="E109" t="s">
        <v>144</v>
      </c>
    </row>
    <row r="110" spans="1:5" x14ac:dyDescent="0.2">
      <c r="A110" t="s">
        <v>212</v>
      </c>
      <c r="B110" t="s">
        <v>235</v>
      </c>
      <c r="C110" t="s">
        <v>44</v>
      </c>
      <c r="D110" t="s">
        <v>236</v>
      </c>
      <c r="E110" t="s">
        <v>237</v>
      </c>
    </row>
    <row r="111" spans="1:5" x14ac:dyDescent="0.2">
      <c r="A111" t="s">
        <v>212</v>
      </c>
      <c r="B111" t="s">
        <v>238</v>
      </c>
      <c r="C111" t="s">
        <v>7</v>
      </c>
      <c r="D111" t="s">
        <v>239</v>
      </c>
      <c r="E111" t="s">
        <v>240</v>
      </c>
    </row>
    <row r="112" spans="1:5" x14ac:dyDescent="0.2">
      <c r="A112" t="s">
        <v>212</v>
      </c>
      <c r="B112" t="s">
        <v>241</v>
      </c>
      <c r="C112" t="s">
        <v>242</v>
      </c>
      <c r="D112" t="s">
        <v>243</v>
      </c>
      <c r="E112" t="s">
        <v>244</v>
      </c>
    </row>
    <row r="113" spans="1:5" x14ac:dyDescent="0.2">
      <c r="A113" t="s">
        <v>212</v>
      </c>
      <c r="B113" t="s">
        <v>245</v>
      </c>
      <c r="C113" t="s">
        <v>242</v>
      </c>
      <c r="D113" t="s">
        <v>246</v>
      </c>
      <c r="E113" t="s">
        <v>244</v>
      </c>
    </row>
    <row r="114" spans="1:5" x14ac:dyDescent="0.2">
      <c r="A114" t="s">
        <v>212</v>
      </c>
      <c r="B114" t="s">
        <v>247</v>
      </c>
      <c r="C114" t="s">
        <v>242</v>
      </c>
      <c r="D114" t="s">
        <v>248</v>
      </c>
      <c r="E114" t="s">
        <v>244</v>
      </c>
    </row>
    <row r="115" spans="1:5" x14ac:dyDescent="0.2">
      <c r="A115" t="s">
        <v>212</v>
      </c>
      <c r="B115" t="s">
        <v>249</v>
      </c>
      <c r="C115" t="s">
        <v>7</v>
      </c>
      <c r="D115" t="s">
        <v>250</v>
      </c>
      <c r="E115" t="s">
        <v>251</v>
      </c>
    </row>
    <row r="116" spans="1:5" x14ac:dyDescent="0.2">
      <c r="A116" t="s">
        <v>212</v>
      </c>
      <c r="B116" t="s">
        <v>252</v>
      </c>
      <c r="C116" t="s">
        <v>7</v>
      </c>
      <c r="D116" t="s">
        <v>253</v>
      </c>
      <c r="E116" t="s">
        <v>251</v>
      </c>
    </row>
    <row r="117" spans="1:5" x14ac:dyDescent="0.2">
      <c r="A117" t="s">
        <v>212</v>
      </c>
      <c r="B117" t="s">
        <v>254</v>
      </c>
      <c r="C117" t="s">
        <v>7</v>
      </c>
      <c r="D117" t="s">
        <v>255</v>
      </c>
      <c r="E117" t="s">
        <v>229</v>
      </c>
    </row>
    <row r="118" spans="1:5" x14ac:dyDescent="0.2">
      <c r="A118" t="s">
        <v>212</v>
      </c>
      <c r="B118" t="s">
        <v>256</v>
      </c>
      <c r="C118" t="s">
        <v>257</v>
      </c>
      <c r="D118" t="s">
        <v>258</v>
      </c>
      <c r="E118" t="s">
        <v>259</v>
      </c>
    </row>
    <row r="119" spans="1:5" x14ac:dyDescent="0.2">
      <c r="A119" t="s">
        <v>212</v>
      </c>
      <c r="B119" t="s">
        <v>260</v>
      </c>
      <c r="C119" t="s">
        <v>12</v>
      </c>
      <c r="D119" t="s">
        <v>261</v>
      </c>
      <c r="E119" t="s">
        <v>262</v>
      </c>
    </row>
    <row r="120" spans="1:5" x14ac:dyDescent="0.2">
      <c r="A120" t="s">
        <v>212</v>
      </c>
      <c r="B120" t="s">
        <v>263</v>
      </c>
      <c r="C120" t="s">
        <v>264</v>
      </c>
      <c r="D120" t="s">
        <v>265</v>
      </c>
      <c r="E120" t="s">
        <v>262</v>
      </c>
    </row>
    <row r="121" spans="1:5" x14ac:dyDescent="0.2">
      <c r="A121" t="s">
        <v>212</v>
      </c>
      <c r="B121" t="s">
        <v>266</v>
      </c>
      <c r="C121" t="s">
        <v>264</v>
      </c>
      <c r="D121" t="s">
        <v>267</v>
      </c>
      <c r="E121" t="s">
        <v>262</v>
      </c>
    </row>
    <row r="122" spans="1:5" x14ac:dyDescent="0.2">
      <c r="A122" t="s">
        <v>212</v>
      </c>
      <c r="B122" t="s">
        <v>268</v>
      </c>
      <c r="C122" t="s">
        <v>264</v>
      </c>
      <c r="D122" t="s">
        <v>269</v>
      </c>
      <c r="E122" t="s">
        <v>262</v>
      </c>
    </row>
    <row r="123" spans="1:5" x14ac:dyDescent="0.2">
      <c r="A123" t="s">
        <v>212</v>
      </c>
      <c r="B123" t="s">
        <v>270</v>
      </c>
      <c r="C123" t="s">
        <v>7</v>
      </c>
      <c r="D123" t="s">
        <v>271</v>
      </c>
      <c r="E123" t="s">
        <v>262</v>
      </c>
    </row>
    <row r="124" spans="1:5" x14ac:dyDescent="0.2">
      <c r="A124" t="s">
        <v>212</v>
      </c>
      <c r="B124" t="s">
        <v>272</v>
      </c>
      <c r="C124" t="s">
        <v>7</v>
      </c>
      <c r="D124" t="s">
        <v>273</v>
      </c>
      <c r="E124" t="s">
        <v>262</v>
      </c>
    </row>
    <row r="125" spans="1:5" x14ac:dyDescent="0.2">
      <c r="A125" t="s">
        <v>212</v>
      </c>
      <c r="B125" t="s">
        <v>274</v>
      </c>
      <c r="C125" t="s">
        <v>44</v>
      </c>
      <c r="D125" t="s">
        <v>275</v>
      </c>
      <c r="E125" t="s">
        <v>276</v>
      </c>
    </row>
    <row r="126" spans="1:5" x14ac:dyDescent="0.2">
      <c r="A126" t="s">
        <v>212</v>
      </c>
      <c r="B126" t="s">
        <v>277</v>
      </c>
      <c r="C126" t="s">
        <v>278</v>
      </c>
      <c r="D126" t="s">
        <v>279</v>
      </c>
      <c r="E126" t="s">
        <v>276</v>
      </c>
    </row>
    <row r="127" spans="1:5" x14ac:dyDescent="0.2">
      <c r="A127" t="s">
        <v>212</v>
      </c>
      <c r="B127" t="s">
        <v>280</v>
      </c>
      <c r="C127" t="s">
        <v>44</v>
      </c>
      <c r="D127" t="s">
        <v>281</v>
      </c>
      <c r="E127" t="s">
        <v>276</v>
      </c>
    </row>
    <row r="128" spans="1:5" x14ac:dyDescent="0.2">
      <c r="A128" t="s">
        <v>212</v>
      </c>
      <c r="B128" t="s">
        <v>282</v>
      </c>
      <c r="C128" t="s">
        <v>278</v>
      </c>
      <c r="D128" t="s">
        <v>283</v>
      </c>
      <c r="E128" t="s">
        <v>276</v>
      </c>
    </row>
    <row r="129" spans="1:5" x14ac:dyDescent="0.2">
      <c r="A129" t="s">
        <v>212</v>
      </c>
      <c r="B129" t="s">
        <v>284</v>
      </c>
      <c r="C129" t="s">
        <v>285</v>
      </c>
      <c r="D129" t="s">
        <v>286</v>
      </c>
      <c r="E129" t="s">
        <v>287</v>
      </c>
    </row>
    <row r="131" spans="1:5" x14ac:dyDescent="0.2">
      <c r="A131" t="s">
        <v>288</v>
      </c>
      <c r="D131" t="s">
        <v>289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3"/>
  <sheetViews>
    <sheetView zoomScale="212" zoomScaleNormal="75" workbookViewId="0">
      <pane xSplit="1" ySplit="1" topLeftCell="AB2" activePane="bottomRight" state="frozen"/>
      <selection pane="topRight"/>
      <selection pane="bottomLeft"/>
      <selection pane="bottomRight" activeCell="P1" sqref="P1:P1048576"/>
    </sheetView>
  </sheetViews>
  <sheetFormatPr baseColWidth="10" defaultColWidth="8.83203125" defaultRowHeight="15" x14ac:dyDescent="0.2"/>
  <cols>
    <col min="1" max="1" width="12.5" bestFit="1" customWidth="1"/>
    <col min="2" max="2" width="8.83203125" bestFit="1" customWidth="1"/>
    <col min="3" max="3" width="9.1640625" bestFit="1" customWidth="1"/>
    <col min="4" max="4" width="4.6640625" bestFit="1" customWidth="1"/>
    <col min="5" max="5" width="6.83203125" bestFit="1" customWidth="1"/>
    <col min="6" max="6" width="8" bestFit="1" customWidth="1"/>
    <col min="7" max="7" width="6" customWidth="1"/>
    <col min="8" max="8" width="6.33203125" customWidth="1"/>
    <col min="9" max="9" width="8.1640625" bestFit="1" customWidth="1"/>
    <col min="10" max="10" width="8" customWidth="1"/>
    <col min="11" max="11" width="6.33203125" bestFit="1" customWidth="1"/>
    <col min="12" max="12" width="3.83203125" bestFit="1" customWidth="1"/>
    <col min="13" max="13" width="4.83203125" bestFit="1" customWidth="1"/>
    <col min="14" max="14" width="6.5" bestFit="1" customWidth="1"/>
    <col min="15" max="15" width="7.1640625" bestFit="1" customWidth="1"/>
    <col min="16" max="16" width="10.6640625" bestFit="1" customWidth="1"/>
    <col min="17" max="17" width="5.5" bestFit="1" customWidth="1"/>
    <col min="18" max="18" width="7.83203125" bestFit="1" customWidth="1"/>
    <col min="19" max="19" width="8.5" bestFit="1" customWidth="1"/>
    <col min="20" max="20" width="14.6640625" bestFit="1" customWidth="1"/>
    <col min="21" max="21" width="4.6640625" bestFit="1" customWidth="1"/>
    <col min="22" max="22" width="6.6640625" bestFit="1" customWidth="1"/>
    <col min="23" max="23" width="7.83203125" bestFit="1" customWidth="1"/>
    <col min="24" max="24" width="6.1640625" bestFit="1" customWidth="1"/>
    <col min="25" max="25" width="8.33203125" bestFit="1" customWidth="1"/>
    <col min="26" max="26" width="9.1640625" bestFit="1" customWidth="1"/>
    <col min="27" max="27" width="7.83203125" bestFit="1" customWidth="1"/>
    <col min="28" max="28" width="5.33203125" bestFit="1" customWidth="1"/>
    <col min="29" max="29" width="6.6640625" bestFit="1" customWidth="1"/>
    <col min="30" max="30" width="7.83203125" bestFit="1" customWidth="1"/>
    <col min="31" max="31" width="6.1640625" bestFit="1" customWidth="1"/>
    <col min="32" max="32" width="8.33203125" bestFit="1" customWidth="1"/>
    <col min="33" max="33" width="9.1640625" bestFit="1" customWidth="1"/>
    <col min="34" max="34" width="7.83203125" bestFit="1" customWidth="1"/>
    <col min="35" max="35" width="5.33203125" bestFit="1" customWidth="1"/>
    <col min="36" max="36" width="6.5" bestFit="1" customWidth="1"/>
    <col min="37" max="37" width="7.6640625" bestFit="1" customWidth="1"/>
    <col min="38" max="38" width="5.33203125" customWidth="1"/>
    <col min="39" max="39" width="8.1640625" bestFit="1" customWidth="1"/>
    <col min="40" max="40" width="9" bestFit="1" customWidth="1"/>
    <col min="41" max="41" width="9" customWidth="1"/>
    <col min="42" max="42" width="5.1640625" bestFit="1" customWidth="1"/>
    <col min="43" max="43" width="6.5" bestFit="1" customWidth="1"/>
    <col min="44" max="44" width="7.6640625" bestFit="1" customWidth="1"/>
    <col min="45" max="45" width="9" customWidth="1"/>
    <col min="46" max="47" width="11" customWidth="1"/>
    <col min="48" max="49" width="9" customWidth="1"/>
  </cols>
  <sheetData>
    <row r="1" spans="1:49" s="5" customFormat="1" x14ac:dyDescent="0.2">
      <c r="A1" s="9" t="s">
        <v>6</v>
      </c>
      <c r="B1" s="9" t="s">
        <v>9</v>
      </c>
      <c r="C1" s="9" t="s">
        <v>11</v>
      </c>
      <c r="D1" s="9" t="s">
        <v>14</v>
      </c>
      <c r="E1" s="9" t="s">
        <v>16</v>
      </c>
      <c r="F1" s="9" t="s">
        <v>18</v>
      </c>
      <c r="G1" s="9" t="s">
        <v>20</v>
      </c>
      <c r="H1" s="9" t="s">
        <v>22</v>
      </c>
      <c r="I1" s="9" t="s">
        <v>24</v>
      </c>
      <c r="J1" s="9" t="s">
        <v>27</v>
      </c>
      <c r="K1" s="9" t="s">
        <v>29</v>
      </c>
      <c r="L1" s="9" t="s">
        <v>31</v>
      </c>
      <c r="M1" s="9" t="s">
        <v>33</v>
      </c>
      <c r="N1" s="12" t="s">
        <v>35</v>
      </c>
      <c r="O1" s="12" t="s">
        <v>37</v>
      </c>
      <c r="P1" s="12" t="s">
        <v>385</v>
      </c>
      <c r="Q1" s="12" t="s">
        <v>39</v>
      </c>
      <c r="R1" s="12" t="s">
        <v>41</v>
      </c>
      <c r="S1" s="12" t="s">
        <v>43</v>
      </c>
      <c r="T1" s="12" t="s">
        <v>46</v>
      </c>
      <c r="U1" s="12" t="s">
        <v>48</v>
      </c>
      <c r="V1" s="10" t="s">
        <v>50</v>
      </c>
      <c r="W1" s="10" t="s">
        <v>52</v>
      </c>
      <c r="X1" s="10" t="s">
        <v>54</v>
      </c>
      <c r="Y1" s="10" t="s">
        <v>56</v>
      </c>
      <c r="Z1" s="10" t="s">
        <v>58</v>
      </c>
      <c r="AA1" s="10" t="s">
        <v>60</v>
      </c>
      <c r="AB1" s="10" t="s">
        <v>62</v>
      </c>
      <c r="AC1" s="10" t="s">
        <v>64</v>
      </c>
      <c r="AD1" s="10" t="s">
        <v>65</v>
      </c>
      <c r="AE1" s="10" t="s">
        <v>66</v>
      </c>
      <c r="AF1" s="10" t="s">
        <v>68</v>
      </c>
      <c r="AG1" s="10" t="s">
        <v>70</v>
      </c>
      <c r="AH1" s="10" t="s">
        <v>72</v>
      </c>
      <c r="AI1" s="10" t="s">
        <v>74</v>
      </c>
      <c r="AJ1" s="11" t="s">
        <v>76</v>
      </c>
      <c r="AK1" s="11" t="s">
        <v>78</v>
      </c>
      <c r="AL1" s="11" t="s">
        <v>80</v>
      </c>
      <c r="AM1" s="11" t="s">
        <v>82</v>
      </c>
      <c r="AN1" s="11" t="s">
        <v>84</v>
      </c>
      <c r="AO1" s="11" t="s">
        <v>86</v>
      </c>
      <c r="AP1" s="11" t="s">
        <v>88</v>
      </c>
      <c r="AQ1" s="11" t="s">
        <v>90</v>
      </c>
      <c r="AR1" s="11" t="s">
        <v>92</v>
      </c>
      <c r="AS1" s="11" t="s">
        <v>94</v>
      </c>
      <c r="AT1" s="11" t="s">
        <v>96</v>
      </c>
      <c r="AU1" s="11" t="s">
        <v>98</v>
      </c>
      <c r="AV1" s="11" t="s">
        <v>100</v>
      </c>
      <c r="AW1" s="11" t="s">
        <v>102</v>
      </c>
    </row>
    <row r="2" spans="1:49" x14ac:dyDescent="0.2">
      <c r="A2" t="s">
        <v>290</v>
      </c>
      <c r="B2" t="s">
        <v>291</v>
      </c>
      <c r="C2">
        <v>15000</v>
      </c>
      <c r="D2">
        <v>0.2</v>
      </c>
      <c r="E2">
        <v>0.25</v>
      </c>
      <c r="F2">
        <v>6.27</v>
      </c>
      <c r="G2">
        <v>0.75</v>
      </c>
      <c r="H2">
        <f>F2/G2</f>
        <v>8.36</v>
      </c>
      <c r="I2">
        <v>0.44167000000000001</v>
      </c>
      <c r="J2">
        <v>0</v>
      </c>
      <c r="K2">
        <v>9.048</v>
      </c>
      <c r="L2">
        <v>1</v>
      </c>
      <c r="M2">
        <v>2</v>
      </c>
      <c r="N2" s="4">
        <v>13</v>
      </c>
      <c r="O2" s="4">
        <v>26.8</v>
      </c>
      <c r="P2" s="4">
        <v>12.23</v>
      </c>
      <c r="Q2" s="4">
        <v>4.8984923079999998</v>
      </c>
      <c r="R2" s="4">
        <v>0.60019646400000004</v>
      </c>
      <c r="S2" s="4">
        <v>0</v>
      </c>
      <c r="T2" s="4">
        <v>0</v>
      </c>
      <c r="U2" s="4">
        <v>1</v>
      </c>
      <c r="V2" s="4">
        <v>1.08</v>
      </c>
      <c r="W2" s="4">
        <v>2.5</v>
      </c>
      <c r="X2" s="4">
        <v>3</v>
      </c>
      <c r="Y2" s="4">
        <v>1</v>
      </c>
      <c r="Z2">
        <v>0</v>
      </c>
      <c r="AA2">
        <v>0.6</v>
      </c>
      <c r="AB2">
        <v>1.05</v>
      </c>
      <c r="AC2">
        <v>0</v>
      </c>
      <c r="AD2">
        <f>AC2*2</f>
        <v>0</v>
      </c>
      <c r="AE2">
        <v>0</v>
      </c>
      <c r="AF2">
        <v>0</v>
      </c>
      <c r="AG2">
        <v>0</v>
      </c>
      <c r="AH2">
        <v>0</v>
      </c>
      <c r="AI2">
        <v>0</v>
      </c>
      <c r="AJ2" s="4">
        <v>0.16600000000000001</v>
      </c>
      <c r="AK2" s="4">
        <v>0.35</v>
      </c>
      <c r="AL2" s="4">
        <v>2.4674698799999999</v>
      </c>
      <c r="AM2" s="4">
        <v>0.1</v>
      </c>
      <c r="AN2" s="4">
        <v>20</v>
      </c>
      <c r="AO2">
        <v>0.26</v>
      </c>
      <c r="AP2">
        <v>1</v>
      </c>
      <c r="AQ2">
        <v>0</v>
      </c>
      <c r="AR2">
        <v>0</v>
      </c>
      <c r="AS2">
        <v>0</v>
      </c>
      <c r="AT2">
        <v>0</v>
      </c>
      <c r="AU2">
        <v>0</v>
      </c>
      <c r="AV2">
        <v>0</v>
      </c>
      <c r="AW2">
        <v>0</v>
      </c>
    </row>
    <row r="3" spans="1:49" x14ac:dyDescent="0.2">
      <c r="A3" s="4" t="s">
        <v>379</v>
      </c>
      <c r="B3" s="6" t="s">
        <v>291</v>
      </c>
      <c r="C3">
        <v>15000</v>
      </c>
      <c r="D3" s="4">
        <v>0.2</v>
      </c>
      <c r="E3" s="4">
        <v>0.25</v>
      </c>
      <c r="F3" s="4">
        <v>6.27</v>
      </c>
      <c r="G3" s="4">
        <v>0.75</v>
      </c>
      <c r="H3" s="4">
        <v>8.36</v>
      </c>
      <c r="I3" s="4">
        <v>0.44178646700000002</v>
      </c>
      <c r="J3" s="4">
        <v>0</v>
      </c>
      <c r="K3" s="4">
        <v>12.37</v>
      </c>
      <c r="L3" s="4">
        <v>1</v>
      </c>
      <c r="M3" s="4">
        <v>1</v>
      </c>
      <c r="N3" s="4">
        <v>10.5</v>
      </c>
      <c r="O3" s="4">
        <v>21.5</v>
      </c>
      <c r="P3" s="4">
        <v>12.23</v>
      </c>
      <c r="Q3" s="4">
        <v>6.0648</v>
      </c>
      <c r="R3" s="4">
        <v>0.6</v>
      </c>
      <c r="S3" s="4">
        <v>0</v>
      </c>
      <c r="T3" s="4">
        <v>0</v>
      </c>
      <c r="U3" s="4">
        <v>1.2</v>
      </c>
      <c r="V3" s="4">
        <v>3.6</v>
      </c>
      <c r="W3" s="4">
        <v>7.2</v>
      </c>
      <c r="X3" s="4">
        <v>2.9884444440000002</v>
      </c>
      <c r="Y3" s="4">
        <v>1</v>
      </c>
      <c r="Z3" s="4">
        <v>0</v>
      </c>
      <c r="AA3" s="4">
        <v>0.6</v>
      </c>
      <c r="AB3" s="4">
        <v>1</v>
      </c>
      <c r="AC3" s="4">
        <v>0</v>
      </c>
      <c r="AD3" s="4">
        <v>0</v>
      </c>
      <c r="AE3" s="4">
        <v>0</v>
      </c>
      <c r="AF3" s="4">
        <v>0</v>
      </c>
      <c r="AG3" s="4">
        <v>0</v>
      </c>
      <c r="AH3" s="4">
        <v>0</v>
      </c>
      <c r="AI3" s="4">
        <v>0</v>
      </c>
      <c r="AJ3" s="4">
        <v>0.16600000000000001</v>
      </c>
      <c r="AK3" s="4">
        <v>1.544</v>
      </c>
      <c r="AL3" s="4">
        <v>3.0880000000000001</v>
      </c>
      <c r="AM3" s="4">
        <v>1.983484456</v>
      </c>
      <c r="AN3" s="4">
        <v>0.60458715600000001</v>
      </c>
      <c r="AO3" s="4">
        <v>0.26</v>
      </c>
      <c r="AP3" s="4">
        <v>1</v>
      </c>
      <c r="AQ3" s="4">
        <v>0</v>
      </c>
      <c r="AR3" s="4">
        <v>0</v>
      </c>
      <c r="AS3" s="4">
        <v>0</v>
      </c>
      <c r="AT3" s="4">
        <v>0</v>
      </c>
      <c r="AU3" s="4">
        <v>0</v>
      </c>
      <c r="AV3" s="4">
        <v>0</v>
      </c>
      <c r="AW3" s="4">
        <v>0</v>
      </c>
    </row>
  </sheetData>
  <phoneticPr fontId="6" type="noConversion"/>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Lists!$B$2:$B$40</xm:f>
          </x14:formula1>
          <xm:sqref>B2 B4:B50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3"/>
  <sheetViews>
    <sheetView zoomScale="150" workbookViewId="0">
      <pane xSplit="1" ySplit="1" topLeftCell="N2" activePane="bottomRight" state="frozen"/>
      <selection pane="topRight"/>
      <selection pane="bottomLeft"/>
      <selection pane="bottomRight" activeCell="BA8" sqref="BA8"/>
    </sheetView>
  </sheetViews>
  <sheetFormatPr baseColWidth="10" defaultColWidth="8.83203125" defaultRowHeight="15" x14ac:dyDescent="0.2"/>
  <cols>
    <col min="1" max="1" width="12.5" bestFit="1" customWidth="1"/>
    <col min="2" max="2" width="22.6640625" bestFit="1" customWidth="1"/>
    <col min="3" max="3" width="7.33203125" bestFit="1" customWidth="1"/>
    <col min="4" max="4" width="9" bestFit="1" customWidth="1"/>
    <col min="5" max="9" width="7.33203125" bestFit="1" customWidth="1"/>
    <col min="10" max="11" width="6.1640625" bestFit="1" customWidth="1"/>
    <col min="12" max="17" width="7.1640625" bestFit="1" customWidth="1"/>
    <col min="18" max="23" width="9" customWidth="1"/>
    <col min="24" max="28" width="10" customWidth="1"/>
    <col min="29" max="42" width="9" customWidth="1"/>
    <col min="43" max="43" width="13" customWidth="1"/>
    <col min="44" max="44" width="11" customWidth="1"/>
    <col min="45" max="46" width="13" customWidth="1"/>
    <col min="47" max="47" width="11" customWidth="1"/>
    <col min="48" max="49" width="13" customWidth="1"/>
    <col min="50" max="50" width="11" customWidth="1"/>
    <col min="51" max="52" width="13" customWidth="1"/>
    <col min="53" max="53" width="11" customWidth="1"/>
    <col min="54" max="54" width="13" customWidth="1"/>
  </cols>
  <sheetData>
    <row r="1" spans="1:54" x14ac:dyDescent="0.2">
      <c r="A1" s="2" t="s">
        <v>6</v>
      </c>
      <c r="B1" s="2" t="s">
        <v>106</v>
      </c>
      <c r="C1" s="2" t="s">
        <v>108</v>
      </c>
      <c r="D1" s="2" t="s">
        <v>110</v>
      </c>
      <c r="E1" s="2" t="s">
        <v>292</v>
      </c>
      <c r="F1" s="2" t="s">
        <v>293</v>
      </c>
      <c r="G1" s="2" t="s">
        <v>294</v>
      </c>
      <c r="H1" s="2" t="s">
        <v>295</v>
      </c>
      <c r="I1" s="2" t="s">
        <v>296</v>
      </c>
      <c r="J1" s="2" t="s">
        <v>297</v>
      </c>
      <c r="K1" s="2" t="s">
        <v>298</v>
      </c>
      <c r="L1" s="2" t="s">
        <v>299</v>
      </c>
      <c r="M1" s="2" t="s">
        <v>300</v>
      </c>
      <c r="N1" s="2" t="s">
        <v>301</v>
      </c>
      <c r="O1" s="2" t="s">
        <v>302</v>
      </c>
      <c r="P1" s="2" t="s">
        <v>303</v>
      </c>
      <c r="Q1" s="2" t="s">
        <v>304</v>
      </c>
      <c r="R1" s="2" t="s">
        <v>305</v>
      </c>
      <c r="S1" s="2" t="s">
        <v>306</v>
      </c>
      <c r="T1" s="2" t="s">
        <v>307</v>
      </c>
      <c r="U1" s="2" t="s">
        <v>308</v>
      </c>
      <c r="V1" s="2" t="s">
        <v>309</v>
      </c>
      <c r="W1" s="2" t="s">
        <v>114</v>
      </c>
      <c r="X1" s="2" t="s">
        <v>310</v>
      </c>
      <c r="Y1" s="2" t="s">
        <v>311</v>
      </c>
      <c r="Z1" s="2" t="s">
        <v>312</v>
      </c>
      <c r="AA1" s="2" t="s">
        <v>313</v>
      </c>
      <c r="AB1" s="2" t="s">
        <v>314</v>
      </c>
      <c r="AC1" s="2" t="s">
        <v>315</v>
      </c>
      <c r="AD1" s="2" t="s">
        <v>316</v>
      </c>
      <c r="AE1" s="2" t="s">
        <v>317</v>
      </c>
      <c r="AF1" s="2" t="s">
        <v>318</v>
      </c>
      <c r="AG1" s="2" t="s">
        <v>319</v>
      </c>
      <c r="AH1" s="2" t="s">
        <v>320</v>
      </c>
      <c r="AI1" s="2" t="s">
        <v>321</v>
      </c>
      <c r="AJ1" s="2" t="s">
        <v>322</v>
      </c>
      <c r="AK1" s="2" t="s">
        <v>323</v>
      </c>
      <c r="AL1" s="2" t="s">
        <v>324</v>
      </c>
      <c r="AM1" s="2" t="s">
        <v>325</v>
      </c>
      <c r="AN1" s="2" t="s">
        <v>326</v>
      </c>
      <c r="AO1" s="2" t="s">
        <v>327</v>
      </c>
      <c r="AP1" s="2" t="s">
        <v>118</v>
      </c>
      <c r="AQ1" s="2" t="s">
        <v>120</v>
      </c>
      <c r="AR1" s="2" t="s">
        <v>122</v>
      </c>
      <c r="AS1" s="2" t="s">
        <v>124</v>
      </c>
      <c r="AT1" s="2" t="s">
        <v>126</v>
      </c>
      <c r="AU1" s="2" t="s">
        <v>128</v>
      </c>
      <c r="AV1" s="2" t="s">
        <v>130</v>
      </c>
      <c r="AW1" s="2" t="s">
        <v>132</v>
      </c>
      <c r="AX1" s="2" t="s">
        <v>134</v>
      </c>
      <c r="AY1" s="2" t="s">
        <v>136</v>
      </c>
      <c r="AZ1" s="2" t="s">
        <v>138</v>
      </c>
      <c r="BA1" s="2" t="s">
        <v>140</v>
      </c>
      <c r="BB1" s="2" t="s">
        <v>142</v>
      </c>
    </row>
    <row r="2" spans="1:54" x14ac:dyDescent="0.2">
      <c r="A2" t="s">
        <v>290</v>
      </c>
      <c r="B2" t="s">
        <v>328</v>
      </c>
      <c r="C2">
        <v>0.14000000000000001</v>
      </c>
      <c r="D2">
        <v>0.255</v>
      </c>
      <c r="E2">
        <v>-0.432</v>
      </c>
      <c r="F2">
        <v>-0.3236</v>
      </c>
      <c r="G2">
        <v>-0.16370000000000001</v>
      </c>
      <c r="H2">
        <v>-2.0199999999999999E-2</v>
      </c>
      <c r="I2">
        <v>3.2300000000000002E-2</v>
      </c>
      <c r="J2">
        <v>0.21679999999999999</v>
      </c>
      <c r="K2">
        <v>0.33829999999999999</v>
      </c>
      <c r="L2">
        <v>0.44159999999999999</v>
      </c>
      <c r="M2">
        <v>0.51160000000000005</v>
      </c>
      <c r="N2">
        <v>0.62109999999999999</v>
      </c>
      <c r="O2">
        <v>0.63649999999999995</v>
      </c>
      <c r="P2">
        <v>0.6905</v>
      </c>
      <c r="Q2">
        <v>0.71499999999999997</v>
      </c>
      <c r="R2">
        <v>0.71930000000000005</v>
      </c>
      <c r="S2">
        <v>0.73270000000000002</v>
      </c>
      <c r="T2">
        <v>0.74609999999999999</v>
      </c>
      <c r="U2">
        <v>0.75949999999999995</v>
      </c>
      <c r="V2">
        <v>0.77290000000000003</v>
      </c>
      <c r="W2">
        <v>0.73640000000000005</v>
      </c>
      <c r="X2">
        <v>9.1679999999999998E-2</v>
      </c>
      <c r="Y2">
        <v>4.5400000000000003E-2</v>
      </c>
      <c r="Z2">
        <v>3.798E-2</v>
      </c>
      <c r="AA2">
        <v>3.4130000000000001E-2</v>
      </c>
      <c r="AB2">
        <v>3.4380000000000001E-2</v>
      </c>
      <c r="AC2">
        <v>3.6380000000000003E-2</v>
      </c>
      <c r="AD2">
        <v>3.9410000000000001E-2</v>
      </c>
      <c r="AE2">
        <v>4.2869999999999998E-2</v>
      </c>
      <c r="AF2">
        <v>4.793E-2</v>
      </c>
      <c r="AG2">
        <v>5.1369999999999999E-2</v>
      </c>
      <c r="AH2">
        <v>6.0830000000000002E-2</v>
      </c>
      <c r="AI2">
        <v>6.8860000000000005E-2</v>
      </c>
      <c r="AJ2">
        <v>8.004E-2</v>
      </c>
      <c r="AK2">
        <v>9.4369999999999996E-2</v>
      </c>
      <c r="AL2">
        <v>0.10390000000000001</v>
      </c>
      <c r="AM2">
        <v>0.1134</v>
      </c>
      <c r="AN2">
        <v>0.1229</v>
      </c>
      <c r="AO2">
        <v>0.13239999999999999</v>
      </c>
      <c r="AP2">
        <v>3.4009999999999999E-2</v>
      </c>
      <c r="AQ2" t="s">
        <v>375</v>
      </c>
      <c r="AR2">
        <v>0.14000000000000001</v>
      </c>
      <c r="AS2">
        <v>0.255</v>
      </c>
      <c r="AT2" t="s">
        <v>375</v>
      </c>
      <c r="AU2">
        <v>0.14000000000000001</v>
      </c>
      <c r="AV2">
        <v>0.255</v>
      </c>
      <c r="AW2" t="s">
        <v>375</v>
      </c>
      <c r="AX2">
        <v>0.14000000000000001</v>
      </c>
      <c r="AY2">
        <v>0.255</v>
      </c>
      <c r="AZ2">
        <v>0</v>
      </c>
      <c r="BA2">
        <v>0</v>
      </c>
      <c r="BB2">
        <v>0</v>
      </c>
    </row>
    <row r="3" spans="1:54" x14ac:dyDescent="0.2">
      <c r="A3" s="4" t="s">
        <v>379</v>
      </c>
      <c r="B3" s="7" t="s">
        <v>380</v>
      </c>
      <c r="C3" s="4">
        <v>0.14000000000000001</v>
      </c>
      <c r="D3" s="4">
        <v>0.255</v>
      </c>
      <c r="E3" s="4">
        <v>-9.3799999999999994E-2</v>
      </c>
      <c r="F3" s="4">
        <v>1.35E-2</v>
      </c>
      <c r="G3" s="4">
        <v>0.12330000000000001</v>
      </c>
      <c r="H3" s="4">
        <v>0.2326</v>
      </c>
      <c r="I3" s="4">
        <v>0.34250000000000003</v>
      </c>
      <c r="J3" s="4">
        <v>0.4526</v>
      </c>
      <c r="K3" s="4">
        <v>0.55930000000000002</v>
      </c>
      <c r="L3" s="4">
        <v>0.66510000000000002</v>
      </c>
      <c r="M3" s="4">
        <v>0.78290000000000004</v>
      </c>
      <c r="N3" s="4">
        <v>0.89029999999999998</v>
      </c>
      <c r="O3" s="4">
        <v>0.99519999999999997</v>
      </c>
      <c r="P3" s="4">
        <v>1.0972</v>
      </c>
      <c r="Q3" s="4">
        <v>1.196</v>
      </c>
      <c r="R3" s="4">
        <v>1.2892999999999999</v>
      </c>
      <c r="S3" s="4">
        <v>1.3740000000000001</v>
      </c>
      <c r="T3" s="4">
        <v>1.4452</v>
      </c>
      <c r="U3" s="4">
        <v>1.5036</v>
      </c>
      <c r="V3" s="4">
        <v>1.5506</v>
      </c>
      <c r="W3" s="8">
        <v>1.6418999999999999</v>
      </c>
      <c r="X3" s="4">
        <v>1.2880000000000001E-2</v>
      </c>
      <c r="Y3" s="4">
        <v>1.1339999999999999E-2</v>
      </c>
      <c r="Z3" s="4">
        <v>1.008E-2</v>
      </c>
      <c r="AA3" s="4">
        <v>8.8599999999999998E-3</v>
      </c>
      <c r="AB3" s="4">
        <v>8.2299999999999995E-3</v>
      </c>
      <c r="AC3" s="4">
        <v>8.0700000000000008E-3</v>
      </c>
      <c r="AD3" s="4">
        <v>8.0700000000000008E-3</v>
      </c>
      <c r="AE3" s="4">
        <v>8.1200000000000005E-3</v>
      </c>
      <c r="AF3" s="4">
        <v>8.6700000000000006E-3</v>
      </c>
      <c r="AG3" s="4">
        <v>9.3500000000000007E-3</v>
      </c>
      <c r="AH3" s="4">
        <v>1.018E-2</v>
      </c>
      <c r="AI3" s="4">
        <v>1.112E-2</v>
      </c>
      <c r="AJ3" s="4">
        <v>1.217E-2</v>
      </c>
      <c r="AK3" s="4">
        <v>1.3390000000000001E-2</v>
      </c>
      <c r="AL3" s="4">
        <v>1.486E-2</v>
      </c>
      <c r="AM3" s="4">
        <v>1.644E-2</v>
      </c>
      <c r="AN3" s="4">
        <v>1.8620000000000001E-2</v>
      </c>
      <c r="AO3" s="4">
        <v>2.179E-2</v>
      </c>
      <c r="AP3" s="4">
        <v>8.0599999999999995E-3</v>
      </c>
      <c r="AQ3" s="4" t="s">
        <v>381</v>
      </c>
      <c r="AR3" s="4">
        <v>0.10100000000000001</v>
      </c>
      <c r="AS3" s="4">
        <v>0.27500000000000002</v>
      </c>
      <c r="AT3" t="s">
        <v>375</v>
      </c>
      <c r="AU3">
        <v>0.14000000000000001</v>
      </c>
      <c r="AV3">
        <v>0.255</v>
      </c>
      <c r="AW3" t="s">
        <v>382</v>
      </c>
      <c r="AX3">
        <v>0.14000000000000001</v>
      </c>
      <c r="AY3">
        <v>0.255</v>
      </c>
      <c r="AZ3">
        <v>0</v>
      </c>
      <c r="BA3">
        <v>0</v>
      </c>
      <c r="BB3">
        <v>0</v>
      </c>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
  <sheetViews>
    <sheetView zoomScale="215" workbookViewId="0">
      <pane xSplit="1" ySplit="1" topLeftCell="B2" activePane="bottomRight" state="frozen"/>
      <selection pane="topRight"/>
      <selection pane="bottomLeft"/>
      <selection pane="bottomRight" activeCell="B3" sqref="B3"/>
    </sheetView>
  </sheetViews>
  <sheetFormatPr baseColWidth="10" defaultColWidth="8.83203125" defaultRowHeight="15" x14ac:dyDescent="0.2"/>
  <cols>
    <col min="1" max="1" width="9" customWidth="1"/>
    <col min="2" max="2" width="11.83203125" bestFit="1" customWidth="1"/>
    <col min="3" max="3" width="7.5" bestFit="1" customWidth="1"/>
    <col min="4" max="4" width="8.5" bestFit="1" customWidth="1"/>
    <col min="5" max="5" width="10" bestFit="1" customWidth="1"/>
    <col min="6" max="6" width="8.1640625" bestFit="1" customWidth="1"/>
    <col min="7" max="7" width="9.6640625" bestFit="1" customWidth="1"/>
    <col min="8" max="8" width="9.5" bestFit="1" customWidth="1"/>
    <col min="9" max="9" width="8.83203125" bestFit="1" customWidth="1"/>
    <col min="10" max="10" width="5.83203125" bestFit="1" customWidth="1"/>
    <col min="11" max="11" width="7.6640625" bestFit="1" customWidth="1"/>
    <col min="12" max="12" width="8.1640625" bestFit="1" customWidth="1"/>
    <col min="13" max="13" width="8.33203125" bestFit="1" customWidth="1"/>
    <col min="14" max="14" width="9.5" bestFit="1" customWidth="1"/>
    <col min="15" max="15" width="11.1640625" bestFit="1" customWidth="1"/>
    <col min="16" max="16" width="11" bestFit="1" customWidth="1"/>
    <col min="17" max="17" width="7.83203125" bestFit="1" customWidth="1"/>
    <col min="18" max="18" width="7.1640625" bestFit="1" customWidth="1"/>
  </cols>
  <sheetData>
    <row r="1" spans="1:18" x14ac:dyDescent="0.2">
      <c r="A1" s="2" t="s">
        <v>6</v>
      </c>
      <c r="B1" s="2" t="s">
        <v>145</v>
      </c>
      <c r="C1" s="2" t="s">
        <v>147</v>
      </c>
      <c r="D1" s="2" t="s">
        <v>149</v>
      </c>
      <c r="E1" s="2" t="s">
        <v>152</v>
      </c>
      <c r="F1" s="2" t="s">
        <v>155</v>
      </c>
      <c r="G1" s="2" t="s">
        <v>157</v>
      </c>
      <c r="H1" s="2" t="s">
        <v>159</v>
      </c>
      <c r="I1" s="2" t="s">
        <v>161</v>
      </c>
      <c r="J1" s="2" t="s">
        <v>164</v>
      </c>
      <c r="K1" s="2" t="s">
        <v>167</v>
      </c>
      <c r="L1" s="2" t="s">
        <v>329</v>
      </c>
      <c r="M1" s="2" t="s">
        <v>330</v>
      </c>
      <c r="N1" s="2" t="s">
        <v>331</v>
      </c>
      <c r="O1" s="2" t="s">
        <v>332</v>
      </c>
      <c r="P1" s="2" t="s">
        <v>333</v>
      </c>
      <c r="Q1" s="2" t="s">
        <v>334</v>
      </c>
      <c r="R1" s="2" t="s">
        <v>335</v>
      </c>
    </row>
    <row r="2" spans="1:18" x14ac:dyDescent="0.2">
      <c r="A2" t="s">
        <v>290</v>
      </c>
      <c r="B2" t="s">
        <v>336</v>
      </c>
      <c r="C2">
        <v>2</v>
      </c>
      <c r="D2">
        <v>0</v>
      </c>
      <c r="E2">
        <v>0</v>
      </c>
      <c r="F2">
        <v>0</v>
      </c>
      <c r="G2">
        <v>0</v>
      </c>
      <c r="H2">
        <v>0</v>
      </c>
      <c r="I2">
        <v>10</v>
      </c>
      <c r="J2">
        <v>0</v>
      </c>
      <c r="K2">
        <v>0.8</v>
      </c>
      <c r="L2">
        <v>1.3</v>
      </c>
      <c r="M2">
        <v>250</v>
      </c>
      <c r="N2">
        <v>0.9</v>
      </c>
      <c r="O2">
        <v>0.9</v>
      </c>
      <c r="P2">
        <v>0.9</v>
      </c>
      <c r="Q2">
        <v>182.25</v>
      </c>
      <c r="R2">
        <v>0.9</v>
      </c>
    </row>
    <row r="3" spans="1:18" x14ac:dyDescent="0.2">
      <c r="A3" t="s">
        <v>290</v>
      </c>
      <c r="B3" t="s">
        <v>336</v>
      </c>
      <c r="C3">
        <v>2</v>
      </c>
      <c r="D3">
        <v>0</v>
      </c>
      <c r="E3">
        <v>0</v>
      </c>
      <c r="F3">
        <v>0</v>
      </c>
      <c r="G3">
        <v>0</v>
      </c>
      <c r="H3">
        <v>0</v>
      </c>
      <c r="I3">
        <v>5</v>
      </c>
      <c r="J3">
        <v>0</v>
      </c>
      <c r="K3">
        <v>0.75</v>
      </c>
      <c r="L3">
        <v>1.25</v>
      </c>
      <c r="M3">
        <v>250</v>
      </c>
      <c r="N3">
        <v>0.9</v>
      </c>
      <c r="O3">
        <v>0.9</v>
      </c>
      <c r="P3">
        <v>0.9</v>
      </c>
      <c r="Q3">
        <v>275</v>
      </c>
      <c r="R3">
        <v>0.85</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Lists!$A$2:$A$10</xm:f>
          </x14:formula1>
          <xm:sqref>B2:B50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tabSelected="1" zoomScale="232" workbookViewId="0">
      <pane xSplit="1" ySplit="1" topLeftCell="B2" activePane="bottomRight" state="frozen"/>
      <selection pane="topRight"/>
      <selection pane="bottomLeft"/>
      <selection pane="bottomRight" activeCell="B6" sqref="B6"/>
    </sheetView>
  </sheetViews>
  <sheetFormatPr baseColWidth="10" defaultColWidth="8.83203125" defaultRowHeight="15" x14ac:dyDescent="0.2"/>
  <cols>
    <col min="1" max="1" width="17.1640625" bestFit="1" customWidth="1"/>
    <col min="2" max="2" width="12.6640625" bestFit="1" customWidth="1"/>
    <col min="3" max="3" width="5.1640625" bestFit="1" customWidth="1"/>
    <col min="4" max="4" width="6" bestFit="1" customWidth="1"/>
    <col min="5" max="5" width="7.1640625" bestFit="1" customWidth="1"/>
    <col min="6" max="6" width="8" bestFit="1" customWidth="1"/>
    <col min="7" max="7" width="11" customWidth="1"/>
    <col min="8" max="9" width="12" customWidth="1"/>
  </cols>
  <sheetData>
    <row r="1" spans="1:12" x14ac:dyDescent="0.2">
      <c r="A1" s="2" t="s">
        <v>170</v>
      </c>
      <c r="B1" s="9" t="s">
        <v>173</v>
      </c>
      <c r="C1" s="9" t="s">
        <v>175</v>
      </c>
      <c r="D1" s="9" t="s">
        <v>177</v>
      </c>
      <c r="E1" s="9" t="s">
        <v>179</v>
      </c>
      <c r="F1" s="9" t="s">
        <v>181</v>
      </c>
      <c r="G1" s="9" t="s">
        <v>183</v>
      </c>
      <c r="H1" s="9" t="s">
        <v>185</v>
      </c>
      <c r="I1" s="9" t="s">
        <v>187</v>
      </c>
      <c r="L1" s="1" t="s">
        <v>337</v>
      </c>
    </row>
    <row r="2" spans="1:12" x14ac:dyDescent="0.2">
      <c r="A2" t="s">
        <v>386</v>
      </c>
      <c r="B2" t="s">
        <v>339</v>
      </c>
      <c r="C2">
        <v>0.2</v>
      </c>
      <c r="E2">
        <v>0.6</v>
      </c>
      <c r="F2">
        <v>15</v>
      </c>
      <c r="G2">
        <v>40</v>
      </c>
      <c r="H2">
        <v>45</v>
      </c>
    </row>
    <row r="3" spans="1:12" x14ac:dyDescent="0.2">
      <c r="A3" t="s">
        <v>338</v>
      </c>
      <c r="B3" t="s">
        <v>339</v>
      </c>
      <c r="C3">
        <v>0.25</v>
      </c>
      <c r="E3">
        <v>0.6</v>
      </c>
      <c r="F3">
        <v>15</v>
      </c>
      <c r="G3">
        <v>40</v>
      </c>
      <c r="H3">
        <v>45</v>
      </c>
    </row>
    <row r="4" spans="1:12" x14ac:dyDescent="0.2">
      <c r="A4" t="s">
        <v>388</v>
      </c>
      <c r="B4" t="s">
        <v>339</v>
      </c>
      <c r="C4">
        <v>0.3</v>
      </c>
      <c r="E4">
        <v>0.6</v>
      </c>
      <c r="F4">
        <v>15</v>
      </c>
      <c r="G4">
        <v>40</v>
      </c>
      <c r="H4">
        <v>45</v>
      </c>
    </row>
    <row r="5" spans="1:12" x14ac:dyDescent="0.2">
      <c r="A5" t="s">
        <v>383</v>
      </c>
      <c r="B5" t="s">
        <v>376</v>
      </c>
      <c r="C5">
        <v>0.2</v>
      </c>
      <c r="E5">
        <v>0.6</v>
      </c>
      <c r="F5">
        <v>15</v>
      </c>
      <c r="G5">
        <v>40</v>
      </c>
      <c r="H5">
        <v>45</v>
      </c>
    </row>
    <row r="6" spans="1:12" x14ac:dyDescent="0.2">
      <c r="A6" t="s">
        <v>378</v>
      </c>
      <c r="B6" t="s">
        <v>376</v>
      </c>
      <c r="C6">
        <v>0.25</v>
      </c>
      <c r="E6">
        <v>0.6</v>
      </c>
      <c r="F6">
        <v>15</v>
      </c>
      <c r="G6">
        <v>40</v>
      </c>
      <c r="H6">
        <v>45</v>
      </c>
    </row>
    <row r="7" spans="1:12" x14ac:dyDescent="0.2">
      <c r="A7" t="s">
        <v>384</v>
      </c>
      <c r="B7" t="s">
        <v>376</v>
      </c>
      <c r="C7">
        <v>0.3</v>
      </c>
      <c r="E7">
        <v>0.6</v>
      </c>
      <c r="F7">
        <v>15</v>
      </c>
      <c r="G7">
        <v>40</v>
      </c>
      <c r="H7">
        <v>45</v>
      </c>
    </row>
    <row r="8" spans="1:12" x14ac:dyDescent="0.2">
      <c r="A8" t="s">
        <v>386</v>
      </c>
      <c r="B8" t="s">
        <v>341</v>
      </c>
      <c r="C8">
        <v>0.2</v>
      </c>
      <c r="E8">
        <v>0.6</v>
      </c>
      <c r="F8">
        <v>15</v>
      </c>
      <c r="G8">
        <v>40</v>
      </c>
      <c r="H8">
        <v>45</v>
      </c>
    </row>
    <row r="9" spans="1:12" x14ac:dyDescent="0.2">
      <c r="A9" t="s">
        <v>340</v>
      </c>
      <c r="B9" t="s">
        <v>341</v>
      </c>
      <c r="C9">
        <v>0.25</v>
      </c>
      <c r="E9">
        <v>0.6</v>
      </c>
      <c r="F9">
        <v>15</v>
      </c>
      <c r="G9">
        <v>40</v>
      </c>
      <c r="H9">
        <v>45</v>
      </c>
    </row>
    <row r="10" spans="1:12" x14ac:dyDescent="0.2">
      <c r="A10" t="s">
        <v>387</v>
      </c>
      <c r="B10" t="s">
        <v>341</v>
      </c>
      <c r="C10">
        <v>0.3</v>
      </c>
      <c r="E10">
        <v>0.6</v>
      </c>
      <c r="F10">
        <v>15</v>
      </c>
      <c r="G10">
        <v>40</v>
      </c>
      <c r="H10">
        <v>45</v>
      </c>
    </row>
    <row r="11" spans="1:12" x14ac:dyDescent="0.2">
      <c r="A11" t="s">
        <v>389</v>
      </c>
      <c r="B11" t="s">
        <v>342</v>
      </c>
      <c r="C11">
        <v>0.2</v>
      </c>
      <c r="E11">
        <v>0.6</v>
      </c>
      <c r="F11">
        <v>15</v>
      </c>
      <c r="G11">
        <v>40</v>
      </c>
      <c r="H11">
        <v>45</v>
      </c>
    </row>
    <row r="12" spans="1:12" x14ac:dyDescent="0.2">
      <c r="A12" t="s">
        <v>377</v>
      </c>
      <c r="B12" t="s">
        <v>342</v>
      </c>
      <c r="C12">
        <v>0.25</v>
      </c>
      <c r="E12">
        <v>0.6</v>
      </c>
      <c r="F12">
        <v>15</v>
      </c>
      <c r="G12">
        <v>40</v>
      </c>
      <c r="H12">
        <v>45</v>
      </c>
    </row>
    <row r="13" spans="1:12" x14ac:dyDescent="0.2">
      <c r="A13" t="s">
        <v>390</v>
      </c>
      <c r="B13" t="s">
        <v>342</v>
      </c>
      <c r="C13">
        <v>0.3</v>
      </c>
      <c r="E13">
        <v>0.6</v>
      </c>
      <c r="F13">
        <v>15</v>
      </c>
      <c r="G13">
        <v>40</v>
      </c>
      <c r="H13">
        <v>45</v>
      </c>
    </row>
    <row r="14" spans="1:12" x14ac:dyDescent="0.2">
      <c r="A14" s="13" t="s">
        <v>392</v>
      </c>
      <c r="B14" t="s">
        <v>391</v>
      </c>
      <c r="C14" s="13">
        <v>0.2</v>
      </c>
      <c r="D14" s="13"/>
      <c r="E14" s="13">
        <v>0.6</v>
      </c>
      <c r="F14" s="13">
        <v>15</v>
      </c>
      <c r="G14" s="13">
        <v>40</v>
      </c>
      <c r="H14" s="13">
        <v>45</v>
      </c>
    </row>
    <row r="15" spans="1:12" x14ac:dyDescent="0.2">
      <c r="A15" s="13" t="s">
        <v>393</v>
      </c>
      <c r="B15" t="s">
        <v>391</v>
      </c>
      <c r="C15" s="13">
        <v>0.25</v>
      </c>
      <c r="D15" s="13"/>
      <c r="E15" s="13">
        <v>0.6</v>
      </c>
      <c r="F15" s="13">
        <v>15</v>
      </c>
      <c r="G15" s="13">
        <v>40</v>
      </c>
      <c r="H15" s="13">
        <v>45</v>
      </c>
    </row>
    <row r="16" spans="1:12" x14ac:dyDescent="0.2">
      <c r="A16" s="13" t="s">
        <v>394</v>
      </c>
      <c r="B16" t="s">
        <v>391</v>
      </c>
      <c r="C16" s="13">
        <v>0.3</v>
      </c>
      <c r="D16" s="13"/>
      <c r="E16" s="13">
        <v>0.6</v>
      </c>
      <c r="F16" s="13">
        <v>15</v>
      </c>
      <c r="G16" s="13">
        <v>40</v>
      </c>
      <c r="H16" s="13">
        <v>45</v>
      </c>
    </row>
  </sheetData>
  <dataValidations count="1">
    <dataValidation type="list" allowBlank="1" sqref="B2:B100" xr:uid="{00000000-0002-0000-0400-000000000000}">
      <formula1>"none,plain,split,slotted,fowler,double_slotted"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
  <sheetViews>
    <sheetView workbookViewId="0">
      <pane xSplit="1" ySplit="1" topLeftCell="B2" activePane="bottomRight" state="frozen"/>
      <selection pane="topRight"/>
      <selection pane="bottomLeft"/>
      <selection pane="bottomRight" activeCell="B1" sqref="B1:K1"/>
    </sheetView>
  </sheetViews>
  <sheetFormatPr baseColWidth="10" defaultColWidth="8.83203125" defaultRowHeight="15" x14ac:dyDescent="0.2"/>
  <cols>
    <col min="1" max="1" width="10" customWidth="1"/>
    <col min="2" max="2" width="9" customWidth="1"/>
    <col min="3" max="3" width="13" customWidth="1"/>
    <col min="4" max="4" width="14" customWidth="1"/>
    <col min="5" max="5" width="11" customWidth="1"/>
    <col min="6" max="6" width="10" customWidth="1"/>
    <col min="7" max="8" width="12" customWidth="1"/>
    <col min="9" max="9" width="9" customWidth="1"/>
    <col min="10" max="11" width="11" customWidth="1"/>
  </cols>
  <sheetData>
    <row r="1" spans="1:14" x14ac:dyDescent="0.2">
      <c r="A1" s="2" t="s">
        <v>190</v>
      </c>
      <c r="B1" s="2" t="s">
        <v>192</v>
      </c>
      <c r="C1" s="2" t="s">
        <v>194</v>
      </c>
      <c r="D1" s="2" t="s">
        <v>196</v>
      </c>
      <c r="E1" s="2" t="s">
        <v>198</v>
      </c>
      <c r="F1" s="2" t="s">
        <v>200</v>
      </c>
      <c r="G1" s="2" t="s">
        <v>202</v>
      </c>
      <c r="H1" s="2" t="s">
        <v>204</v>
      </c>
      <c r="I1" s="2" t="s">
        <v>206</v>
      </c>
      <c r="J1" s="2" t="s">
        <v>208</v>
      </c>
      <c r="K1" s="2" t="s">
        <v>210</v>
      </c>
      <c r="N1" s="1" t="s">
        <v>343</v>
      </c>
    </row>
    <row r="2" spans="1:14" x14ac:dyDescent="0.2">
      <c r="A2" t="s">
        <v>344</v>
      </c>
      <c r="B2">
        <v>0.25</v>
      </c>
      <c r="D2">
        <v>0.95</v>
      </c>
      <c r="E2">
        <v>20</v>
      </c>
      <c r="F2">
        <v>0.35</v>
      </c>
      <c r="G2">
        <v>1</v>
      </c>
      <c r="H2">
        <v>25</v>
      </c>
      <c r="I2">
        <v>0.35</v>
      </c>
      <c r="J2">
        <v>0.9</v>
      </c>
      <c r="K2">
        <v>25</v>
      </c>
      <c r="N2" t="s">
        <v>345</v>
      </c>
    </row>
    <row r="3" spans="1:14" x14ac:dyDescent="0.2">
      <c r="A3" t="s">
        <v>346</v>
      </c>
      <c r="B3">
        <v>0.25</v>
      </c>
      <c r="D3">
        <v>0.95</v>
      </c>
      <c r="E3">
        <v>20</v>
      </c>
      <c r="F3">
        <v>0.35</v>
      </c>
      <c r="G3">
        <v>1</v>
      </c>
      <c r="H3">
        <v>25</v>
      </c>
      <c r="I3">
        <v>0.45</v>
      </c>
      <c r="J3">
        <v>0.95</v>
      </c>
      <c r="K3">
        <v>30</v>
      </c>
    </row>
    <row r="4" spans="1:14" x14ac:dyDescent="0.2">
      <c r="A4" t="s">
        <v>347</v>
      </c>
      <c r="B4">
        <v>0.2</v>
      </c>
      <c r="D4">
        <v>0.9</v>
      </c>
      <c r="E4">
        <v>20</v>
      </c>
      <c r="F4">
        <v>0.35</v>
      </c>
      <c r="G4">
        <v>1</v>
      </c>
      <c r="H4">
        <v>25</v>
      </c>
      <c r="I4">
        <v>0.35</v>
      </c>
      <c r="J4">
        <v>0.9</v>
      </c>
      <c r="K4">
        <v>25</v>
      </c>
    </row>
    <row r="5" spans="1:14" x14ac:dyDescent="0.2">
      <c r="A5" t="s">
        <v>348</v>
      </c>
      <c r="B5">
        <v>0.25</v>
      </c>
      <c r="D5">
        <v>0.95</v>
      </c>
      <c r="E5">
        <v>20</v>
      </c>
      <c r="F5">
        <v>0.45</v>
      </c>
      <c r="G5">
        <v>1</v>
      </c>
      <c r="H5">
        <v>30</v>
      </c>
      <c r="I5">
        <v>0.35</v>
      </c>
      <c r="J5">
        <v>0.9</v>
      </c>
      <c r="K5">
        <v>25</v>
      </c>
    </row>
    <row r="6" spans="1:14" x14ac:dyDescent="0.2">
      <c r="A6" t="s">
        <v>349</v>
      </c>
      <c r="B6">
        <v>0.2</v>
      </c>
      <c r="D6">
        <v>0.85</v>
      </c>
      <c r="E6">
        <v>15</v>
      </c>
      <c r="F6">
        <v>0.3</v>
      </c>
      <c r="G6">
        <v>1</v>
      </c>
      <c r="H6">
        <v>20</v>
      </c>
      <c r="I6">
        <v>0.3</v>
      </c>
      <c r="J6">
        <v>0.8</v>
      </c>
      <c r="K6">
        <v>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3"/>
  <sheetViews>
    <sheetView zoomScale="169" workbookViewId="0">
      <pane xSplit="1" ySplit="1" topLeftCell="B2" activePane="bottomRight" state="frozen"/>
      <selection pane="topRight"/>
      <selection pane="bottomLeft"/>
      <selection pane="bottomRight" activeCell="G7" sqref="G7"/>
    </sheetView>
  </sheetViews>
  <sheetFormatPr baseColWidth="10" defaultColWidth="8.83203125" defaultRowHeight="15" x14ac:dyDescent="0.2"/>
  <cols>
    <col min="1" max="1" width="12.5" bestFit="1" customWidth="1"/>
    <col min="2" max="2" width="9" customWidth="1"/>
    <col min="3" max="4" width="11" customWidth="1"/>
    <col min="5" max="8" width="9" customWidth="1"/>
    <col min="9" max="9" width="10.6640625" customWidth="1"/>
    <col min="10" max="10" width="10" customWidth="1"/>
    <col min="11" max="11" width="12" customWidth="1"/>
    <col min="12" max="12" width="7.6640625" customWidth="1"/>
    <col min="13" max="16" width="9" customWidth="1"/>
    <col min="17" max="17" width="12" customWidth="1"/>
    <col min="18" max="18" width="20" customWidth="1"/>
    <col min="19" max="19" width="16" customWidth="1"/>
    <col min="20" max="20" width="12" customWidth="1"/>
    <col min="21" max="22" width="20" customWidth="1"/>
    <col min="23" max="24" width="9" customWidth="1"/>
    <col min="25" max="25" width="17" customWidth="1"/>
    <col min="26" max="26" width="13" customWidth="1"/>
    <col min="27" max="27" width="17" customWidth="1"/>
    <col min="28" max="28" width="13" customWidth="1"/>
    <col min="29" max="29" width="11" customWidth="1"/>
  </cols>
  <sheetData>
    <row r="1" spans="1:32" x14ac:dyDescent="0.2">
      <c r="A1" s="2" t="s">
        <v>6</v>
      </c>
      <c r="B1" s="2" t="s">
        <v>214</v>
      </c>
      <c r="C1" s="2" t="s">
        <v>217</v>
      </c>
      <c r="D1" s="2" t="s">
        <v>220</v>
      </c>
      <c r="E1" s="2" t="s">
        <v>222</v>
      </c>
      <c r="F1" s="2" t="s">
        <v>225</v>
      </c>
      <c r="G1" s="2" t="s">
        <v>227</v>
      </c>
      <c r="H1" s="2" t="s">
        <v>230</v>
      </c>
      <c r="I1" s="2" t="s">
        <v>233</v>
      </c>
      <c r="J1" s="2" t="s">
        <v>235</v>
      </c>
      <c r="K1" s="2" t="s">
        <v>238</v>
      </c>
      <c r="L1" s="2" t="s">
        <v>241</v>
      </c>
      <c r="M1" s="2" t="s">
        <v>245</v>
      </c>
      <c r="N1" s="2" t="s">
        <v>247</v>
      </c>
      <c r="O1" s="2" t="s">
        <v>249</v>
      </c>
      <c r="P1" s="2" t="s">
        <v>252</v>
      </c>
      <c r="Q1" s="2" t="s">
        <v>254</v>
      </c>
      <c r="R1" s="2" t="s">
        <v>256</v>
      </c>
      <c r="S1" s="2" t="s">
        <v>260</v>
      </c>
      <c r="T1" s="2" t="s">
        <v>263</v>
      </c>
      <c r="U1" s="2" t="s">
        <v>266</v>
      </c>
      <c r="V1" s="2" t="s">
        <v>268</v>
      </c>
      <c r="W1" s="2" t="s">
        <v>270</v>
      </c>
      <c r="X1" s="2" t="s">
        <v>272</v>
      </c>
      <c r="Y1" s="2" t="s">
        <v>274</v>
      </c>
      <c r="Z1" s="2" t="s">
        <v>277</v>
      </c>
      <c r="AA1" s="2" t="s">
        <v>280</v>
      </c>
      <c r="AB1" s="2" t="s">
        <v>282</v>
      </c>
      <c r="AC1" s="2" t="s">
        <v>284</v>
      </c>
      <c r="AF1" s="1" t="s">
        <v>350</v>
      </c>
    </row>
    <row r="2" spans="1:32" x14ac:dyDescent="0.2">
      <c r="A2" t="s">
        <v>290</v>
      </c>
      <c r="B2" s="3">
        <v>2</v>
      </c>
      <c r="C2" s="3">
        <v>2.2970000000000002</v>
      </c>
      <c r="D2" s="3">
        <v>2.419</v>
      </c>
      <c r="E2" s="3">
        <v>5.9379999999999997</v>
      </c>
      <c r="F2" s="3">
        <v>5.8879999999999999</v>
      </c>
      <c r="G2" s="3">
        <v>2.65</v>
      </c>
      <c r="H2" s="3">
        <v>0.8</v>
      </c>
      <c r="J2" s="3">
        <v>2</v>
      </c>
      <c r="K2">
        <v>0</v>
      </c>
      <c r="O2">
        <v>0.9</v>
      </c>
      <c r="P2">
        <v>0.9</v>
      </c>
      <c r="Q2">
        <v>0.05</v>
      </c>
      <c r="R2">
        <v>10</v>
      </c>
      <c r="S2">
        <v>8000</v>
      </c>
      <c r="T2">
        <v>150</v>
      </c>
      <c r="U2">
        <v>15</v>
      </c>
      <c r="V2">
        <v>10</v>
      </c>
      <c r="W2">
        <v>0.15</v>
      </c>
      <c r="X2">
        <v>0.1</v>
      </c>
      <c r="Y2">
        <v>30</v>
      </c>
      <c r="Z2">
        <v>1.3</v>
      </c>
      <c r="AA2">
        <v>60</v>
      </c>
      <c r="AB2">
        <v>1.7</v>
      </c>
      <c r="AC2">
        <v>-0.6</v>
      </c>
      <c r="AF2" t="s">
        <v>351</v>
      </c>
    </row>
    <row r="3" spans="1:32" x14ac:dyDescent="0.2">
      <c r="A3" t="str">
        <f>Main_Input!A3</f>
        <v>Albatross 1.1.0</v>
      </c>
      <c r="B3" s="3">
        <v>2</v>
      </c>
      <c r="C3" s="3">
        <v>2.2970000000000002</v>
      </c>
      <c r="D3" s="3">
        <v>2.419</v>
      </c>
      <c r="E3" s="3">
        <v>5.9379999999999997</v>
      </c>
      <c r="F3" s="3">
        <v>5.8879999999999999</v>
      </c>
      <c r="G3" s="3">
        <v>2.65</v>
      </c>
      <c r="H3" s="3">
        <v>0.8</v>
      </c>
      <c r="J3" s="3">
        <v>2</v>
      </c>
      <c r="K3">
        <v>0</v>
      </c>
      <c r="O3">
        <v>0.9</v>
      </c>
      <c r="P3">
        <v>0.9</v>
      </c>
      <c r="Q3">
        <v>0.05</v>
      </c>
      <c r="R3">
        <v>10</v>
      </c>
      <c r="S3">
        <v>8000</v>
      </c>
      <c r="T3">
        <v>150</v>
      </c>
      <c r="U3">
        <v>15</v>
      </c>
      <c r="V3">
        <v>10</v>
      </c>
      <c r="W3">
        <v>0.15</v>
      </c>
      <c r="X3">
        <v>0.1</v>
      </c>
      <c r="Y3">
        <v>30</v>
      </c>
      <c r="Z3">
        <v>1.3</v>
      </c>
      <c r="AA3">
        <v>60</v>
      </c>
      <c r="AB3">
        <v>1.7</v>
      </c>
      <c r="AC3">
        <v>-0.6</v>
      </c>
      <c r="AF3" t="s">
        <v>352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9"/>
  <sheetViews>
    <sheetView workbookViewId="0"/>
  </sheetViews>
  <sheetFormatPr baseColWidth="10" defaultColWidth="8.83203125" defaultRowHeight="15" x14ac:dyDescent="0.2"/>
  <sheetData>
    <row r="1" spans="1:2" x14ac:dyDescent="0.2">
      <c r="A1" t="s">
        <v>145</v>
      </c>
      <c r="B1" t="s">
        <v>9</v>
      </c>
    </row>
    <row r="2" spans="1:2" x14ac:dyDescent="0.2">
      <c r="A2" t="s">
        <v>353</v>
      </c>
      <c r="B2" t="s">
        <v>354</v>
      </c>
    </row>
    <row r="3" spans="1:2" x14ac:dyDescent="0.2">
      <c r="A3" t="s">
        <v>336</v>
      </c>
      <c r="B3" t="s">
        <v>355</v>
      </c>
    </row>
    <row r="4" spans="1:2" x14ac:dyDescent="0.2">
      <c r="A4" t="s">
        <v>356</v>
      </c>
      <c r="B4" t="s">
        <v>357</v>
      </c>
    </row>
    <row r="5" spans="1:2" x14ac:dyDescent="0.2">
      <c r="A5" t="s">
        <v>358</v>
      </c>
      <c r="B5" t="s">
        <v>359</v>
      </c>
    </row>
    <row r="6" spans="1:2" x14ac:dyDescent="0.2">
      <c r="A6" t="s">
        <v>360</v>
      </c>
      <c r="B6" t="s">
        <v>361</v>
      </c>
    </row>
    <row r="7" spans="1:2" x14ac:dyDescent="0.2">
      <c r="A7" t="s">
        <v>362</v>
      </c>
      <c r="B7" t="s">
        <v>363</v>
      </c>
    </row>
    <row r="8" spans="1:2" x14ac:dyDescent="0.2">
      <c r="B8" t="s">
        <v>364</v>
      </c>
    </row>
    <row r="9" spans="1:2" x14ac:dyDescent="0.2">
      <c r="B9" t="s">
        <v>365</v>
      </c>
    </row>
    <row r="10" spans="1:2" x14ac:dyDescent="0.2">
      <c r="B10" t="s">
        <v>366</v>
      </c>
    </row>
    <row r="11" spans="1:2" x14ac:dyDescent="0.2">
      <c r="B11" t="s">
        <v>367</v>
      </c>
    </row>
    <row r="12" spans="1:2" x14ac:dyDescent="0.2">
      <c r="B12" t="s">
        <v>368</v>
      </c>
    </row>
    <row r="13" spans="1:2" x14ac:dyDescent="0.2">
      <c r="B13" t="s">
        <v>369</v>
      </c>
    </row>
    <row r="14" spans="1:2" x14ac:dyDescent="0.2">
      <c r="B14" t="s">
        <v>370</v>
      </c>
    </row>
    <row r="15" spans="1:2" x14ac:dyDescent="0.2">
      <c r="B15" t="s">
        <v>371</v>
      </c>
    </row>
    <row r="16" spans="1:2" x14ac:dyDescent="0.2">
      <c r="B16" t="s">
        <v>372</v>
      </c>
    </row>
    <row r="17" spans="2:2" x14ac:dyDescent="0.2">
      <c r="B17" t="s">
        <v>373</v>
      </c>
    </row>
    <row r="18" spans="2:2" x14ac:dyDescent="0.2">
      <c r="B18" t="s">
        <v>374</v>
      </c>
    </row>
    <row r="19" spans="2:2" x14ac:dyDescent="0.2">
      <c r="B19" t="s">
        <v>291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Variable Reference</vt:lpstr>
      <vt:lpstr>Main_Input</vt:lpstr>
      <vt:lpstr>Airfoil_Data</vt:lpstr>
      <vt:lpstr>Propulsion</vt:lpstr>
      <vt:lpstr>Flap_Data</vt:lpstr>
      <vt:lpstr>Control_Surfaces</vt:lpstr>
      <vt:lpstr>Stability_Data</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Millette, Robert</cp:lastModifiedBy>
  <dcterms:created xsi:type="dcterms:W3CDTF">2026-10-13T04:00:49Z</dcterms:created>
  <dcterms:modified xsi:type="dcterms:W3CDTF">2026-10-21T18:48:53Z</dcterms:modified>
</cp:coreProperties>
</file>